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DELL\Documents\SECURE LIFE GENERAL HOSPITAL DASHBOARD\"/>
    </mc:Choice>
  </mc:AlternateContent>
  <xr:revisionPtr revIDLastSave="0" documentId="8_{13976DC8-E0AF-4627-9B74-38ABAA832469}" xr6:coauthVersionLast="47" xr6:coauthVersionMax="47" xr10:uidLastSave="{00000000-0000-0000-0000-000000000000}"/>
  <bookViews>
    <workbookView xWindow="-120" yWindow="-120" windowWidth="20730" windowHeight="11040" activeTab="2" xr2:uid="{5ABBFA4D-F81B-4B53-8BFF-6A9C4B2FE2D1}"/>
  </bookViews>
  <sheets>
    <sheet name="Default Table" sheetId="2" r:id="rId1"/>
    <sheet name="Dashboard" sheetId="4" r:id="rId2"/>
    <sheet name="Hospital Patients" sheetId="1" r:id="rId3"/>
  </sheets>
  <definedNames>
    <definedName name="_xlnm._FilterDatabase" localSheetId="2" hidden="1">'Hospital Patients'!$A$1:$K$1001</definedName>
    <definedName name="Slicer_Department">#N/A</definedName>
    <definedName name="Slicer_Diagnosis">#N/A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3" i="1" l="1" a="1"/>
  <c r="P13" i="1" s="1"/>
  <c r="P14" i="1" a="1"/>
  <c r="P14" i="1"/>
  <c r="P15" i="1" a="1"/>
  <c r="P15" i="1" s="1"/>
  <c r="P16" i="1" a="1"/>
  <c r="P16" i="1"/>
  <c r="P17" i="1" a="1"/>
  <c r="P17" i="1" s="1"/>
  <c r="P18" i="1" a="1"/>
  <c r="P18" i="1"/>
  <c r="P19" i="1" a="1"/>
  <c r="P19" i="1" s="1"/>
  <c r="P20" i="1" a="1"/>
  <c r="P20" i="1"/>
  <c r="P21" i="1" a="1"/>
  <c r="P21" i="1" s="1"/>
  <c r="P22" i="1" a="1"/>
  <c r="P22" i="1" s="1"/>
  <c r="P23" i="1" a="1"/>
  <c r="P23" i="1" s="1"/>
  <c r="P24" i="1" a="1"/>
  <c r="P24" i="1"/>
  <c r="P25" i="1" a="1"/>
  <c r="P25" i="1" s="1"/>
  <c r="P26" i="1" a="1"/>
  <c r="P26" i="1" s="1"/>
  <c r="P27" i="1" a="1"/>
  <c r="P27" i="1" s="1"/>
  <c r="P28" i="1" a="1"/>
  <c r="P28" i="1"/>
  <c r="P29" i="1" a="1"/>
  <c r="P29" i="1" s="1"/>
  <c r="P30" i="1" a="1"/>
  <c r="P30" i="1" s="1"/>
  <c r="P31" i="1" a="1"/>
  <c r="P31" i="1" s="1"/>
  <c r="P32" i="1" a="1"/>
  <c r="P32" i="1"/>
  <c r="P33" i="1" a="1"/>
  <c r="P33" i="1" s="1"/>
  <c r="P34" i="1" a="1"/>
  <c r="P34" i="1" s="1"/>
  <c r="P35" i="1" a="1"/>
  <c r="P35" i="1" s="1"/>
  <c r="P36" i="1" a="1"/>
  <c r="P36" i="1"/>
  <c r="P37" i="1" a="1"/>
  <c r="P37" i="1" s="1"/>
  <c r="P38" i="1" a="1"/>
  <c r="P38" i="1" s="1"/>
  <c r="P39" i="1" a="1"/>
  <c r="P39" i="1" s="1"/>
  <c r="P40" i="1" a="1"/>
  <c r="P40" i="1"/>
  <c r="P41" i="1" a="1"/>
  <c r="P41" i="1" s="1"/>
  <c r="P42" i="1" a="1"/>
  <c r="P42" i="1" s="1"/>
  <c r="P43" i="1" a="1"/>
  <c r="P43" i="1" s="1"/>
  <c r="P44" i="1" a="1"/>
  <c r="P44" i="1"/>
  <c r="P45" i="1" a="1"/>
  <c r="P45" i="1" s="1"/>
  <c r="P46" i="1" a="1"/>
  <c r="P46" i="1" s="1"/>
  <c r="P47" i="1" a="1"/>
  <c r="P47" i="1" s="1"/>
  <c r="P48" i="1" a="1"/>
  <c r="P48" i="1"/>
  <c r="P49" i="1" a="1"/>
  <c r="P49" i="1" s="1"/>
  <c r="P50" i="1" a="1"/>
  <c r="P50" i="1" s="1"/>
  <c r="P51" i="1" a="1"/>
  <c r="P51" i="1" s="1"/>
  <c r="P52" i="1" a="1"/>
  <c r="P52" i="1"/>
  <c r="P53" i="1" a="1"/>
  <c r="P53" i="1" s="1"/>
  <c r="P54" i="1" a="1"/>
  <c r="P54" i="1" s="1"/>
  <c r="P55" i="1" a="1"/>
  <c r="P55" i="1" s="1"/>
  <c r="P56" i="1" a="1"/>
  <c r="P56" i="1"/>
  <c r="P57" i="1" a="1"/>
  <c r="P57" i="1" s="1"/>
  <c r="P58" i="1" a="1"/>
  <c r="P58" i="1" s="1"/>
  <c r="P59" i="1" a="1"/>
  <c r="P59" i="1" s="1"/>
  <c r="P60" i="1" a="1"/>
  <c r="P60" i="1"/>
  <c r="P61" i="1" a="1"/>
  <c r="P61" i="1" s="1"/>
  <c r="P62" i="1" a="1"/>
  <c r="P62" i="1" s="1"/>
  <c r="P63" i="1" a="1"/>
  <c r="P63" i="1" s="1"/>
  <c r="P64" i="1" a="1"/>
  <c r="P64" i="1"/>
  <c r="P65" i="1" a="1"/>
  <c r="P65" i="1" s="1"/>
  <c r="P66" i="1" a="1"/>
  <c r="P66" i="1" s="1"/>
  <c r="P67" i="1" a="1"/>
  <c r="P67" i="1" s="1"/>
  <c r="P68" i="1" a="1"/>
  <c r="P68" i="1"/>
  <c r="P69" i="1" a="1"/>
  <c r="P69" i="1" s="1"/>
  <c r="P70" i="1" a="1"/>
  <c r="P70" i="1" s="1"/>
  <c r="P71" i="1" a="1"/>
  <c r="P71" i="1" s="1"/>
  <c r="P72" i="1" a="1"/>
  <c r="P72" i="1"/>
  <c r="P73" i="1" a="1"/>
  <c r="P73" i="1" s="1"/>
  <c r="P74" i="1" a="1"/>
  <c r="P74" i="1" s="1"/>
  <c r="P75" i="1" a="1"/>
  <c r="P75" i="1" s="1"/>
  <c r="P76" i="1" a="1"/>
  <c r="P76" i="1"/>
  <c r="P77" i="1" a="1"/>
  <c r="P77" i="1" s="1"/>
  <c r="P78" i="1" a="1"/>
  <c r="P78" i="1" s="1"/>
  <c r="P79" i="1" a="1"/>
  <c r="P79" i="1" s="1"/>
  <c r="P80" i="1" a="1"/>
  <c r="P80" i="1"/>
  <c r="P81" i="1" a="1"/>
  <c r="P81" i="1" s="1"/>
  <c r="P82" i="1" a="1"/>
  <c r="P82" i="1" s="1"/>
  <c r="P83" i="1" a="1"/>
  <c r="P83" i="1" s="1"/>
  <c r="P84" i="1" a="1"/>
  <c r="P84" i="1"/>
  <c r="P85" i="1" a="1"/>
  <c r="P85" i="1" s="1"/>
  <c r="P86" i="1" a="1"/>
  <c r="P86" i="1" s="1"/>
  <c r="P87" i="1" a="1"/>
  <c r="P87" i="1" s="1"/>
  <c r="P88" i="1" a="1"/>
  <c r="P88" i="1"/>
  <c r="P89" i="1" a="1"/>
  <c r="P89" i="1" s="1"/>
  <c r="P90" i="1" a="1"/>
  <c r="P90" i="1" s="1"/>
  <c r="P91" i="1" a="1"/>
  <c r="P91" i="1" s="1"/>
  <c r="P92" i="1" a="1"/>
  <c r="P92" i="1"/>
  <c r="P93" i="1" a="1"/>
  <c r="P93" i="1" s="1"/>
  <c r="P94" i="1" a="1"/>
  <c r="P94" i="1" s="1"/>
  <c r="P95" i="1" a="1"/>
  <c r="P95" i="1" s="1"/>
  <c r="P96" i="1" a="1"/>
  <c r="P96" i="1"/>
  <c r="P97" i="1" a="1"/>
  <c r="P97" i="1" s="1"/>
  <c r="P98" i="1" a="1"/>
  <c r="P98" i="1" s="1"/>
  <c r="P99" i="1" a="1"/>
  <c r="P99" i="1" s="1"/>
  <c r="P100" i="1" a="1"/>
  <c r="P100" i="1"/>
  <c r="P101" i="1" a="1"/>
  <c r="P101" i="1" s="1"/>
  <c r="P102" i="1" a="1"/>
  <c r="P102" i="1" s="1"/>
  <c r="P103" i="1" a="1"/>
  <c r="P103" i="1" s="1"/>
  <c r="P104" i="1" a="1"/>
  <c r="P104" i="1"/>
  <c r="P105" i="1" a="1"/>
  <c r="P105" i="1" s="1"/>
  <c r="P106" i="1" a="1"/>
  <c r="P106" i="1" s="1"/>
  <c r="P107" i="1" a="1"/>
  <c r="P107" i="1" s="1"/>
  <c r="P108" i="1" a="1"/>
  <c r="P108" i="1"/>
  <c r="P109" i="1" a="1"/>
  <c r="P109" i="1" s="1"/>
  <c r="P110" i="1" a="1"/>
  <c r="P110" i="1" s="1"/>
  <c r="P111" i="1" a="1"/>
  <c r="P111" i="1" s="1"/>
  <c r="P112" i="1" a="1"/>
  <c r="P112" i="1"/>
  <c r="P113" i="1" a="1"/>
  <c r="P113" i="1" s="1"/>
  <c r="P114" i="1" a="1"/>
  <c r="P114" i="1" s="1"/>
  <c r="P115" i="1" a="1"/>
  <c r="P115" i="1" s="1"/>
  <c r="P116" i="1" a="1"/>
  <c r="P116" i="1"/>
  <c r="P117" i="1" a="1"/>
  <c r="P117" i="1" s="1"/>
  <c r="P118" i="1" a="1"/>
  <c r="P118" i="1" s="1"/>
  <c r="P119" i="1" a="1"/>
  <c r="P119" i="1" s="1"/>
  <c r="P120" i="1" a="1"/>
  <c r="P120" i="1"/>
  <c r="P121" i="1" a="1"/>
  <c r="P121" i="1" s="1"/>
  <c r="P122" i="1" a="1"/>
  <c r="P122" i="1" s="1"/>
  <c r="P123" i="1" a="1"/>
  <c r="P123" i="1" s="1"/>
  <c r="P124" i="1" a="1"/>
  <c r="P124" i="1"/>
  <c r="P125" i="1" a="1"/>
  <c r="P125" i="1" s="1"/>
  <c r="P126" i="1" a="1"/>
  <c r="P126" i="1" s="1"/>
  <c r="P127" i="1" a="1"/>
  <c r="P127" i="1" s="1"/>
  <c r="P128" i="1" a="1"/>
  <c r="P128" i="1"/>
  <c r="P129" i="1" a="1"/>
  <c r="P129" i="1" s="1"/>
  <c r="P130" i="1" a="1"/>
  <c r="P130" i="1" s="1"/>
  <c r="P131" i="1" a="1"/>
  <c r="P131" i="1" s="1"/>
  <c r="P132" i="1" a="1"/>
  <c r="P132" i="1"/>
  <c r="P133" i="1" a="1"/>
  <c r="P133" i="1" s="1"/>
  <c r="P134" i="1" a="1"/>
  <c r="P134" i="1" s="1"/>
  <c r="P135" i="1" a="1"/>
  <c r="P135" i="1" s="1"/>
  <c r="P136" i="1" a="1"/>
  <c r="P136" i="1"/>
  <c r="P137" i="1" a="1"/>
  <c r="P137" i="1" s="1"/>
  <c r="P138" i="1" a="1"/>
  <c r="P138" i="1" s="1"/>
  <c r="P139" i="1" a="1"/>
  <c r="P139" i="1" s="1"/>
  <c r="P140" i="1" a="1"/>
  <c r="P140" i="1"/>
  <c r="P141" i="1" a="1"/>
  <c r="P141" i="1" s="1"/>
  <c r="P142" i="1" a="1"/>
  <c r="P142" i="1" s="1"/>
  <c r="P143" i="1" a="1"/>
  <c r="P143" i="1" s="1"/>
  <c r="P144" i="1" a="1"/>
  <c r="P144" i="1"/>
  <c r="P145" i="1" a="1"/>
  <c r="P145" i="1" s="1"/>
  <c r="P146" i="1" a="1"/>
  <c r="P146" i="1" s="1"/>
  <c r="P147" i="1" a="1"/>
  <c r="P147" i="1" s="1"/>
  <c r="P148" i="1" a="1"/>
  <c r="P148" i="1"/>
  <c r="P149" i="1" a="1"/>
  <c r="P149" i="1" s="1"/>
  <c r="P150" i="1" a="1"/>
  <c r="P150" i="1" s="1"/>
  <c r="P151" i="1" a="1"/>
  <c r="P151" i="1" s="1"/>
  <c r="P152" i="1" a="1"/>
  <c r="P152" i="1"/>
  <c r="P153" i="1" a="1"/>
  <c r="P153" i="1" s="1"/>
  <c r="P154" i="1" a="1"/>
  <c r="P154" i="1" s="1"/>
  <c r="P155" i="1" a="1"/>
  <c r="P155" i="1" s="1"/>
  <c r="P156" i="1" a="1"/>
  <c r="P156" i="1"/>
  <c r="P157" i="1" a="1"/>
  <c r="P157" i="1" s="1"/>
  <c r="P158" i="1" a="1"/>
  <c r="P158" i="1" s="1"/>
  <c r="P159" i="1" a="1"/>
  <c r="P159" i="1" s="1"/>
  <c r="P160" i="1" a="1"/>
  <c r="P160" i="1"/>
  <c r="P161" i="1" a="1"/>
  <c r="P161" i="1" s="1"/>
  <c r="P162" i="1" a="1"/>
  <c r="P162" i="1" s="1"/>
  <c r="P163" i="1" a="1"/>
  <c r="P163" i="1" s="1"/>
  <c r="P164" i="1" a="1"/>
  <c r="P164" i="1"/>
  <c r="P165" i="1" a="1"/>
  <c r="P165" i="1" s="1"/>
  <c r="P166" i="1" a="1"/>
  <c r="P166" i="1" s="1"/>
  <c r="P167" i="1" a="1"/>
  <c r="P167" i="1" s="1"/>
  <c r="P168" i="1" a="1"/>
  <c r="P168" i="1"/>
  <c r="P169" i="1" a="1"/>
  <c r="P169" i="1" s="1"/>
  <c r="P170" i="1" a="1"/>
  <c r="P170" i="1" s="1"/>
  <c r="P171" i="1" a="1"/>
  <c r="P171" i="1" s="1"/>
  <c r="P172" i="1" a="1"/>
  <c r="P172" i="1"/>
  <c r="P173" i="1" a="1"/>
  <c r="P173" i="1" s="1"/>
  <c r="P174" i="1" a="1"/>
  <c r="P174" i="1" s="1"/>
  <c r="P175" i="1" a="1"/>
  <c r="P175" i="1" s="1"/>
  <c r="P176" i="1" a="1"/>
  <c r="P176" i="1"/>
  <c r="P177" i="1" a="1"/>
  <c r="P177" i="1" s="1"/>
  <c r="P178" i="1" a="1"/>
  <c r="P178" i="1" s="1"/>
  <c r="P179" i="1" a="1"/>
  <c r="P179" i="1" s="1"/>
  <c r="P180" i="1" a="1"/>
  <c r="P180" i="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c r="P312" i="1" a="1"/>
  <c r="P312" i="1" s="1"/>
  <c r="P313" i="1" a="1"/>
  <c r="P313" i="1"/>
  <c r="P314" i="1" a="1"/>
  <c r="P314" i="1" s="1"/>
  <c r="P315" i="1" a="1"/>
  <c r="P315" i="1" s="1"/>
  <c r="P316" i="1" a="1"/>
  <c r="P316" i="1" s="1"/>
  <c r="P317" i="1" a="1"/>
  <c r="P317" i="1" s="1"/>
  <c r="P318" i="1" a="1"/>
  <c r="P318" i="1" s="1"/>
  <c r="P319" i="1" a="1"/>
  <c r="P319" i="1"/>
  <c r="P320" i="1" a="1"/>
  <c r="P320" i="1" s="1"/>
  <c r="P321" i="1" a="1"/>
  <c r="P321" i="1"/>
  <c r="P322" i="1" a="1"/>
  <c r="P322" i="1" s="1"/>
  <c r="P323" i="1" a="1"/>
  <c r="P323" i="1" s="1"/>
  <c r="P324" i="1" a="1"/>
  <c r="P324" i="1" s="1"/>
  <c r="P325" i="1" a="1"/>
  <c r="P325" i="1" s="1"/>
  <c r="P326" i="1" a="1"/>
  <c r="P326" i="1" s="1"/>
  <c r="P327" i="1" a="1"/>
  <c r="P327" i="1"/>
  <c r="P328" i="1" a="1"/>
  <c r="P328" i="1" s="1"/>
  <c r="P329" i="1" a="1"/>
  <c r="P329" i="1"/>
  <c r="P330" i="1" a="1"/>
  <c r="P330" i="1" s="1"/>
  <c r="P331" i="1" a="1"/>
  <c r="P331" i="1" s="1"/>
  <c r="P332" i="1" a="1"/>
  <c r="P332" i="1" s="1"/>
  <c r="P333" i="1" a="1"/>
  <c r="P333" i="1" s="1"/>
  <c r="P334" i="1" a="1"/>
  <c r="P334" i="1" s="1"/>
  <c r="P335" i="1" a="1"/>
  <c r="P335" i="1"/>
  <c r="P336" i="1" a="1"/>
  <c r="P336" i="1" s="1"/>
  <c r="P337" i="1" a="1"/>
  <c r="P337" i="1"/>
  <c r="P338" i="1" a="1"/>
  <c r="P338" i="1" s="1"/>
  <c r="P339" i="1" a="1"/>
  <c r="P339" i="1" s="1"/>
  <c r="P340" i="1" a="1"/>
  <c r="P340" i="1" s="1"/>
  <c r="P341" i="1" a="1"/>
  <c r="P341" i="1" s="1"/>
  <c r="P342" i="1" a="1"/>
  <c r="P342" i="1" s="1"/>
  <c r="P343" i="1" a="1"/>
  <c r="P343" i="1"/>
  <c r="P344" i="1" a="1"/>
  <c r="P344" i="1" s="1"/>
  <c r="P345" i="1" a="1"/>
  <c r="P345" i="1"/>
  <c r="P346" i="1" a="1"/>
  <c r="P346" i="1" s="1"/>
  <c r="P347" i="1" a="1"/>
  <c r="P347" i="1" s="1"/>
  <c r="P348" i="1" a="1"/>
  <c r="P348" i="1" s="1"/>
  <c r="P349" i="1" a="1"/>
  <c r="P349" i="1" s="1"/>
  <c r="P350" i="1" a="1"/>
  <c r="P350" i="1" s="1"/>
  <c r="P351" i="1" a="1"/>
  <c r="P351" i="1"/>
  <c r="P352" i="1" a="1"/>
  <c r="P352" i="1" s="1"/>
  <c r="P353" i="1" a="1"/>
  <c r="P353" i="1"/>
  <c r="P354" i="1" a="1"/>
  <c r="P354" i="1" s="1"/>
  <c r="P355" i="1" a="1"/>
  <c r="P355" i="1" s="1"/>
  <c r="P356" i="1" a="1"/>
  <c r="P356" i="1" s="1"/>
  <c r="P357" i="1" a="1"/>
  <c r="P357" i="1" s="1"/>
  <c r="P358" i="1" a="1"/>
  <c r="P358" i="1" s="1"/>
  <c r="P359" i="1" a="1"/>
  <c r="P359" i="1"/>
  <c r="P360" i="1" a="1"/>
  <c r="P360" i="1" s="1"/>
  <c r="P361" i="1" a="1"/>
  <c r="P361" i="1"/>
  <c r="P362" i="1" a="1"/>
  <c r="P362" i="1" s="1"/>
  <c r="P363" i="1" a="1"/>
  <c r="P363" i="1" s="1"/>
  <c r="P364" i="1" a="1"/>
  <c r="P364" i="1" s="1"/>
  <c r="P365" i="1" a="1"/>
  <c r="P365" i="1" s="1"/>
  <c r="P366" i="1" a="1"/>
  <c r="P366" i="1" s="1"/>
  <c r="P367" i="1" a="1"/>
  <c r="P367" i="1"/>
  <c r="P368" i="1" a="1"/>
  <c r="P368" i="1" s="1"/>
  <c r="P369" i="1" a="1"/>
  <c r="P369" i="1"/>
  <c r="P370" i="1" a="1"/>
  <c r="P370" i="1" s="1"/>
  <c r="P371" i="1" a="1"/>
  <c r="P371" i="1" s="1"/>
  <c r="P372" i="1" a="1"/>
  <c r="P372" i="1" s="1"/>
  <c r="P373" i="1" a="1"/>
  <c r="P373" i="1" s="1"/>
  <c r="P374" i="1" a="1"/>
  <c r="P374" i="1" s="1"/>
  <c r="P375" i="1" a="1"/>
  <c r="P375" i="1"/>
  <c r="P376" i="1" a="1"/>
  <c r="P376" i="1" s="1"/>
  <c r="P377" i="1" a="1"/>
  <c r="P377" i="1"/>
  <c r="P378" i="1" a="1"/>
  <c r="P378" i="1" s="1"/>
  <c r="P379" i="1" a="1"/>
  <c r="P379" i="1" s="1"/>
  <c r="P380" i="1" a="1"/>
  <c r="P380" i="1" s="1"/>
  <c r="P381" i="1" a="1"/>
  <c r="P381" i="1" s="1"/>
  <c r="P382" i="1" a="1"/>
  <c r="P382" i="1" s="1"/>
  <c r="P383" i="1" a="1"/>
  <c r="P383" i="1"/>
  <c r="P384" i="1" a="1"/>
  <c r="P384" i="1" s="1"/>
  <c r="P385" i="1" a="1"/>
  <c r="P385" i="1"/>
  <c r="P386" i="1" a="1"/>
  <c r="P386" i="1" s="1"/>
  <c r="P387" i="1" a="1"/>
  <c r="P387" i="1" s="1"/>
  <c r="P388" i="1" a="1"/>
  <c r="P388" i="1" s="1"/>
  <c r="P389" i="1" a="1"/>
  <c r="P389" i="1" s="1"/>
  <c r="P390" i="1" a="1"/>
  <c r="P390" i="1" s="1"/>
  <c r="P391" i="1" a="1"/>
  <c r="P391" i="1"/>
  <c r="P392" i="1" a="1"/>
  <c r="P392" i="1" s="1"/>
  <c r="P393" i="1" a="1"/>
  <c r="P393" i="1"/>
  <c r="P394" i="1" a="1"/>
  <c r="P394" i="1" s="1"/>
  <c r="P395" i="1" a="1"/>
  <c r="P395" i="1" s="1"/>
  <c r="P396" i="1" a="1"/>
  <c r="P396" i="1" s="1"/>
  <c r="P397" i="1" a="1"/>
  <c r="P397" i="1" s="1"/>
  <c r="P398" i="1" a="1"/>
  <c r="P398" i="1" s="1"/>
  <c r="P399" i="1" a="1"/>
  <c r="P399" i="1"/>
  <c r="P400" i="1" a="1"/>
  <c r="P400" i="1" s="1"/>
  <c r="P401" i="1" a="1"/>
  <c r="P401" i="1"/>
  <c r="P402" i="1" a="1"/>
  <c r="P402" i="1" s="1"/>
  <c r="P403" i="1" a="1"/>
  <c r="P403" i="1" s="1"/>
  <c r="P404" i="1" a="1"/>
  <c r="P404" i="1" s="1"/>
  <c r="P405" i="1" a="1"/>
  <c r="P405" i="1" s="1"/>
  <c r="P406" i="1" a="1"/>
  <c r="P406" i="1" s="1"/>
  <c r="P407" i="1" a="1"/>
  <c r="P407" i="1"/>
  <c r="P408" i="1" a="1"/>
  <c r="P408" i="1" s="1"/>
  <c r="P409" i="1" a="1"/>
  <c r="P409" i="1"/>
  <c r="P410" i="1" a="1"/>
  <c r="P410" i="1" s="1"/>
  <c r="P411" i="1" a="1"/>
  <c r="P411" i="1" s="1"/>
  <c r="P412" i="1" a="1"/>
  <c r="P412" i="1" s="1"/>
  <c r="P413" i="1" a="1"/>
  <c r="P413" i="1" s="1"/>
  <c r="P414" i="1" a="1"/>
  <c r="P414" i="1" s="1"/>
  <c r="P415" i="1" a="1"/>
  <c r="P415" i="1"/>
  <c r="P416" i="1" a="1"/>
  <c r="P416" i="1" s="1"/>
  <c r="P417" i="1" a="1"/>
  <c r="P417" i="1"/>
  <c r="P418" i="1" a="1"/>
  <c r="P418" i="1" s="1"/>
  <c r="P419" i="1" a="1"/>
  <c r="P419" i="1" s="1"/>
  <c r="P420" i="1" a="1"/>
  <c r="P420" i="1" s="1"/>
  <c r="P421" i="1" a="1"/>
  <c r="P421" i="1" s="1"/>
  <c r="P422" i="1" a="1"/>
  <c r="P422" i="1" s="1"/>
  <c r="P423" i="1" a="1"/>
  <c r="P423" i="1"/>
  <c r="P424" i="1" a="1"/>
  <c r="P424" i="1" s="1"/>
  <c r="P425" i="1" a="1"/>
  <c r="P425" i="1"/>
  <c r="P426" i="1" a="1"/>
  <c r="P426" i="1" s="1"/>
  <c r="P427" i="1" a="1"/>
  <c r="P427" i="1" s="1"/>
  <c r="P428" i="1" a="1"/>
  <c r="P428" i="1" s="1"/>
  <c r="P429" i="1" a="1"/>
  <c r="P429" i="1" s="1"/>
  <c r="P430" i="1" a="1"/>
  <c r="P430" i="1" s="1"/>
  <c r="P431" i="1" a="1"/>
  <c r="P431" i="1"/>
  <c r="P432" i="1" a="1"/>
  <c r="P432" i="1" s="1"/>
  <c r="P433" i="1" a="1"/>
  <c r="P433" i="1"/>
  <c r="P434" i="1" a="1"/>
  <c r="P434" i="1" s="1"/>
  <c r="P435" i="1" a="1"/>
  <c r="P435" i="1" s="1"/>
  <c r="P436" i="1" a="1"/>
  <c r="P436" i="1" s="1"/>
  <c r="P437" i="1" a="1"/>
  <c r="P437" i="1" s="1"/>
  <c r="P438" i="1" a="1"/>
  <c r="P438" i="1" s="1"/>
  <c r="P439" i="1" a="1"/>
  <c r="P439" i="1"/>
  <c r="P440" i="1" a="1"/>
  <c r="P440" i="1" s="1"/>
  <c r="P441" i="1" a="1"/>
  <c r="P441" i="1"/>
  <c r="P442" i="1" a="1"/>
  <c r="P442" i="1" s="1"/>
  <c r="P443" i="1" a="1"/>
  <c r="P443" i="1" s="1"/>
  <c r="P444" i="1" a="1"/>
  <c r="P444" i="1" s="1"/>
  <c r="P445" i="1" a="1"/>
  <c r="P445" i="1" s="1"/>
  <c r="P446" i="1" a="1"/>
  <c r="P446" i="1" s="1"/>
  <c r="P447" i="1" a="1"/>
  <c r="P447" i="1"/>
  <c r="P448" i="1" a="1"/>
  <c r="P448" i="1" s="1"/>
  <c r="P449" i="1" a="1"/>
  <c r="P449" i="1"/>
  <c r="P450" i="1" a="1"/>
  <c r="P450" i="1" s="1"/>
  <c r="P451" i="1" a="1"/>
  <c r="P451" i="1" s="1"/>
  <c r="P452" i="1" a="1"/>
  <c r="P452" i="1" s="1"/>
  <c r="P453" i="1" a="1"/>
  <c r="P453" i="1" s="1"/>
  <c r="P454" i="1" a="1"/>
  <c r="P454" i="1" s="1"/>
  <c r="P455" i="1" a="1"/>
  <c r="P455" i="1"/>
  <c r="P456" i="1" a="1"/>
  <c r="P456" i="1" s="1"/>
  <c r="P457" i="1" a="1"/>
  <c r="P457" i="1"/>
  <c r="P458" i="1" a="1"/>
  <c r="P458" i="1" s="1"/>
  <c r="P459" i="1" a="1"/>
  <c r="P459" i="1" s="1"/>
  <c r="P460" i="1" a="1"/>
  <c r="P460" i="1" s="1"/>
  <c r="P461" i="1" a="1"/>
  <c r="P461" i="1" s="1"/>
  <c r="P462" i="1" a="1"/>
  <c r="P462" i="1" s="1"/>
  <c r="P463" i="1" a="1"/>
  <c r="P463" i="1"/>
  <c r="P464" i="1" a="1"/>
  <c r="P464" i="1" s="1"/>
  <c r="P465" i="1" a="1"/>
  <c r="P465" i="1"/>
  <c r="P466" i="1" a="1"/>
  <c r="P466" i="1" s="1"/>
  <c r="P467" i="1" a="1"/>
  <c r="P467" i="1" s="1"/>
  <c r="P468" i="1" a="1"/>
  <c r="P468" i="1" s="1"/>
  <c r="P469" i="1" a="1"/>
  <c r="P469" i="1" s="1"/>
  <c r="P470" i="1" a="1"/>
  <c r="P470" i="1" s="1"/>
  <c r="P471" i="1" a="1"/>
  <c r="P471" i="1"/>
  <c r="P472" i="1" a="1"/>
  <c r="P472" i="1" s="1"/>
  <c r="P473" i="1" a="1"/>
  <c r="P473" i="1"/>
  <c r="P474" i="1" a="1"/>
  <c r="P474" i="1" s="1"/>
  <c r="P475" i="1" a="1"/>
  <c r="P475" i="1" s="1"/>
  <c r="P476" i="1" a="1"/>
  <c r="P476" i="1" s="1"/>
  <c r="P477" i="1" a="1"/>
  <c r="P477" i="1" s="1"/>
  <c r="P478" i="1" a="1"/>
  <c r="P478" i="1" s="1"/>
  <c r="P479" i="1" a="1"/>
  <c r="P479" i="1"/>
  <c r="P480" i="1" a="1"/>
  <c r="P480" i="1" s="1"/>
  <c r="P481" i="1" a="1"/>
  <c r="P481" i="1"/>
  <c r="P482" i="1" a="1"/>
  <c r="P482" i="1" s="1"/>
  <c r="P483" i="1" a="1"/>
  <c r="P483" i="1" s="1"/>
  <c r="P484" i="1" a="1"/>
  <c r="P484" i="1" s="1"/>
  <c r="P485" i="1" a="1"/>
  <c r="P485" i="1" s="1"/>
  <c r="P486" i="1" a="1"/>
  <c r="P486" i="1" s="1"/>
  <c r="P487" i="1" a="1"/>
  <c r="P487" i="1"/>
  <c r="P488" i="1" a="1"/>
  <c r="P488" i="1" s="1"/>
  <c r="P489" i="1" a="1"/>
  <c r="P489" i="1"/>
  <c r="P490" i="1" a="1"/>
  <c r="P490" i="1" s="1"/>
  <c r="P491" i="1" a="1"/>
  <c r="P491" i="1" s="1"/>
  <c r="P492" i="1" a="1"/>
  <c r="P492" i="1" s="1"/>
  <c r="P493" i="1" a="1"/>
  <c r="P493" i="1" s="1"/>
  <c r="P494" i="1" a="1"/>
  <c r="P494" i="1" s="1"/>
  <c r="P495" i="1" a="1"/>
  <c r="P495" i="1"/>
  <c r="P496" i="1" a="1"/>
  <c r="P496" i="1" s="1"/>
  <c r="P497" i="1" a="1"/>
  <c r="P497" i="1"/>
  <c r="P498" i="1" a="1"/>
  <c r="P498" i="1" s="1"/>
  <c r="P499" i="1" a="1"/>
  <c r="P499" i="1" s="1"/>
  <c r="P500" i="1" a="1"/>
  <c r="P500" i="1" s="1"/>
  <c r="P501" i="1" a="1"/>
  <c r="P501" i="1" s="1"/>
  <c r="P502" i="1" a="1"/>
  <c r="P502" i="1" s="1"/>
  <c r="P503" i="1" a="1"/>
  <c r="P503" i="1"/>
  <c r="P504" i="1" a="1"/>
  <c r="P504" i="1" s="1"/>
  <c r="P505" i="1" a="1"/>
  <c r="P505" i="1"/>
  <c r="P506" i="1" a="1"/>
  <c r="P506" i="1" s="1"/>
  <c r="P507" i="1" a="1"/>
  <c r="P507" i="1" s="1"/>
  <c r="P508" i="1" a="1"/>
  <c r="P508" i="1" s="1"/>
  <c r="P509" i="1" a="1"/>
  <c r="P509" i="1" s="1"/>
  <c r="P510" i="1" a="1"/>
  <c r="P510" i="1" s="1"/>
  <c r="P511" i="1" a="1"/>
  <c r="P511" i="1"/>
  <c r="P512" i="1" a="1"/>
  <c r="P512" i="1" s="1"/>
  <c r="P513" i="1" a="1"/>
  <c r="P513" i="1"/>
  <c r="P514" i="1" a="1"/>
  <c r="P514" i="1" s="1"/>
  <c r="P515" i="1" a="1"/>
  <c r="P515" i="1" s="1"/>
  <c r="P516" i="1" a="1"/>
  <c r="P516" i="1" s="1"/>
  <c r="P517" i="1" a="1"/>
  <c r="P517" i="1" s="1"/>
  <c r="P518" i="1" a="1"/>
  <c r="P518" i="1" s="1"/>
  <c r="P519" i="1" a="1"/>
  <c r="P519" i="1"/>
  <c r="P520" i="1" a="1"/>
  <c r="P520" i="1" s="1"/>
  <c r="P521" i="1" a="1"/>
  <c r="P521" i="1"/>
  <c r="P522" i="1" a="1"/>
  <c r="P522" i="1" s="1"/>
  <c r="P523" i="1" a="1"/>
  <c r="P523" i="1" s="1"/>
  <c r="P524" i="1" a="1"/>
  <c r="P524" i="1" s="1"/>
  <c r="P525" i="1" a="1"/>
  <c r="P525" i="1" s="1"/>
  <c r="P526" i="1" a="1"/>
  <c r="P526" i="1" s="1"/>
  <c r="P527" i="1" a="1"/>
  <c r="P527" i="1"/>
  <c r="P528" i="1" a="1"/>
  <c r="P528" i="1" s="1"/>
  <c r="P529" i="1" a="1"/>
  <c r="P529" i="1"/>
  <c r="P530" i="1" a="1"/>
  <c r="P530" i="1" s="1"/>
  <c r="P531" i="1" a="1"/>
  <c r="P531" i="1" s="1"/>
  <c r="P532" i="1" a="1"/>
  <c r="P532" i="1" s="1"/>
  <c r="P533" i="1" a="1"/>
  <c r="P533" i="1" s="1"/>
  <c r="P534" i="1" a="1"/>
  <c r="P534" i="1" s="1"/>
  <c r="P535" i="1" a="1"/>
  <c r="P535" i="1"/>
  <c r="P536" i="1" a="1"/>
  <c r="P536" i="1" s="1"/>
  <c r="P537" i="1" a="1"/>
  <c r="P537" i="1"/>
  <c r="P538" i="1" a="1"/>
  <c r="P538" i="1" s="1"/>
  <c r="P539" i="1" a="1"/>
  <c r="P539" i="1" s="1"/>
  <c r="P540" i="1" a="1"/>
  <c r="P540" i="1" s="1"/>
  <c r="P541" i="1" a="1"/>
  <c r="P541" i="1" s="1"/>
  <c r="P542" i="1" a="1"/>
  <c r="P542" i="1" s="1"/>
  <c r="P543" i="1" a="1"/>
  <c r="P543" i="1"/>
  <c r="P544" i="1" a="1"/>
  <c r="P544" i="1" s="1"/>
  <c r="P545" i="1" a="1"/>
  <c r="P545" i="1"/>
  <c r="P546" i="1" a="1"/>
  <c r="P546" i="1" s="1"/>
  <c r="P547" i="1" a="1"/>
  <c r="P547" i="1" s="1"/>
  <c r="P548" i="1" a="1"/>
  <c r="P548" i="1" s="1"/>
  <c r="P549" i="1" a="1"/>
  <c r="P549" i="1" s="1"/>
  <c r="P550" i="1" a="1"/>
  <c r="P550" i="1" s="1"/>
  <c r="P551" i="1" a="1"/>
  <c r="P551" i="1"/>
  <c r="P552" i="1" a="1"/>
  <c r="P552" i="1" s="1"/>
  <c r="P553" i="1" a="1"/>
  <c r="P553" i="1"/>
  <c r="P554" i="1" a="1"/>
  <c r="P554" i="1" s="1"/>
  <c r="P555" i="1" a="1"/>
  <c r="P555" i="1" s="1"/>
  <c r="P556" i="1" a="1"/>
  <c r="P556" i="1" s="1"/>
  <c r="P557" i="1" a="1"/>
  <c r="P557" i="1" s="1"/>
  <c r="P558" i="1" a="1"/>
  <c r="P558" i="1" s="1"/>
  <c r="P559" i="1" a="1"/>
  <c r="P559" i="1"/>
  <c r="P560" i="1" a="1"/>
  <c r="P560" i="1" s="1"/>
  <c r="P561" i="1" a="1"/>
  <c r="P561" i="1"/>
  <c r="P562" i="1" a="1"/>
  <c r="P562" i="1" s="1"/>
  <c r="P563" i="1" a="1"/>
  <c r="P563" i="1" s="1"/>
  <c r="P564" i="1" a="1"/>
  <c r="P564" i="1" s="1"/>
  <c r="P565" i="1" a="1"/>
  <c r="P565" i="1" s="1"/>
  <c r="P566" i="1" a="1"/>
  <c r="P566" i="1" s="1"/>
  <c r="P567" i="1" a="1"/>
  <c r="P567" i="1"/>
  <c r="P568" i="1" a="1"/>
  <c r="P568" i="1" s="1"/>
  <c r="P569" i="1" a="1"/>
  <c r="P569" i="1"/>
  <c r="P570" i="1" a="1"/>
  <c r="P570" i="1" s="1"/>
  <c r="P571" i="1" a="1"/>
  <c r="P571" i="1" s="1"/>
  <c r="P572" i="1" a="1"/>
  <c r="P572" i="1" s="1"/>
  <c r="P573" i="1" a="1"/>
  <c r="P573" i="1" s="1"/>
  <c r="P574" i="1" a="1"/>
  <c r="P574" i="1" s="1"/>
  <c r="P575" i="1" a="1"/>
  <c r="P575" i="1"/>
  <c r="P576" i="1" a="1"/>
  <c r="P576" i="1" s="1"/>
  <c r="P577" i="1" a="1"/>
  <c r="P577" i="1"/>
  <c r="P578" i="1" a="1"/>
  <c r="P578" i="1" s="1"/>
  <c r="P579" i="1" a="1"/>
  <c r="P579" i="1" s="1"/>
  <c r="P580" i="1" a="1"/>
  <c r="P580" i="1" s="1"/>
  <c r="P581" i="1" a="1"/>
  <c r="P581" i="1" s="1"/>
  <c r="P582" i="1" a="1"/>
  <c r="P582" i="1" s="1"/>
  <c r="P583" i="1" a="1"/>
  <c r="P583" i="1"/>
  <c r="P584" i="1" a="1"/>
  <c r="P584" i="1" s="1"/>
  <c r="P585" i="1" a="1"/>
  <c r="P585" i="1"/>
  <c r="P586" i="1" a="1"/>
  <c r="P586" i="1" s="1"/>
  <c r="P587" i="1" a="1"/>
  <c r="P587" i="1" s="1"/>
  <c r="P588" i="1" a="1"/>
  <c r="P588" i="1" s="1"/>
  <c r="P589" i="1" a="1"/>
  <c r="P589" i="1" s="1"/>
  <c r="P590" i="1" a="1"/>
  <c r="P590" i="1" s="1"/>
  <c r="P591" i="1" a="1"/>
  <c r="P591" i="1"/>
  <c r="P592" i="1" a="1"/>
  <c r="P592" i="1" s="1"/>
  <c r="P593" i="1" a="1"/>
  <c r="P593" i="1"/>
  <c r="P594" i="1" a="1"/>
  <c r="P594" i="1" s="1"/>
  <c r="P595" i="1" a="1"/>
  <c r="P595" i="1" s="1"/>
  <c r="P596" i="1" a="1"/>
  <c r="P596" i="1" s="1"/>
  <c r="P597" i="1" a="1"/>
  <c r="P597" i="1" s="1"/>
  <c r="P598" i="1" a="1"/>
  <c r="P598" i="1" s="1"/>
  <c r="P599" i="1" a="1"/>
  <c r="P599" i="1"/>
  <c r="P600" i="1" a="1"/>
  <c r="P600" i="1" s="1"/>
  <c r="P601" i="1" a="1"/>
  <c r="P601" i="1"/>
  <c r="P602" i="1" a="1"/>
  <c r="P602" i="1" s="1"/>
  <c r="P603" i="1" a="1"/>
  <c r="P603" i="1" s="1"/>
  <c r="P604" i="1" a="1"/>
  <c r="P604" i="1" s="1"/>
  <c r="P605" i="1" a="1"/>
  <c r="P605" i="1" s="1"/>
  <c r="P606" i="1" a="1"/>
  <c r="P606" i="1" s="1"/>
  <c r="P607" i="1" a="1"/>
  <c r="P607" i="1"/>
  <c r="P608" i="1" a="1"/>
  <c r="P608" i="1" s="1"/>
  <c r="P609" i="1" a="1"/>
  <c r="P609" i="1"/>
  <c r="P610" i="1" a="1"/>
  <c r="P610" i="1" s="1"/>
  <c r="P611" i="1" a="1"/>
  <c r="P611" i="1" s="1"/>
  <c r="P612" i="1" a="1"/>
  <c r="P612" i="1" s="1"/>
  <c r="P613" i="1" a="1"/>
  <c r="P613" i="1" s="1"/>
  <c r="P614" i="1" a="1"/>
  <c r="P614" i="1" s="1"/>
  <c r="P615" i="1" a="1"/>
  <c r="P615" i="1"/>
  <c r="P616" i="1" a="1"/>
  <c r="P616" i="1" s="1"/>
  <c r="P617" i="1" a="1"/>
  <c r="P617" i="1"/>
  <c r="P618" i="1" a="1"/>
  <c r="P618" i="1" s="1"/>
  <c r="P619" i="1" a="1"/>
  <c r="P619" i="1" s="1"/>
  <c r="P620" i="1" a="1"/>
  <c r="P620" i="1" s="1"/>
  <c r="P621" i="1" a="1"/>
  <c r="P621" i="1" s="1"/>
  <c r="P622" i="1" a="1"/>
  <c r="P622" i="1" s="1"/>
  <c r="P623" i="1" a="1"/>
  <c r="P623" i="1"/>
  <c r="P624" i="1" a="1"/>
  <c r="P624" i="1" s="1"/>
  <c r="P625" i="1" a="1"/>
  <c r="P625" i="1"/>
  <c r="P626" i="1" a="1"/>
  <c r="P626" i="1" s="1"/>
  <c r="P627" i="1" a="1"/>
  <c r="P627" i="1" s="1"/>
  <c r="P628" i="1" a="1"/>
  <c r="P628" i="1" s="1"/>
  <c r="P629" i="1" a="1"/>
  <c r="P629" i="1" s="1"/>
  <c r="P630" i="1" a="1"/>
  <c r="P630" i="1" s="1"/>
  <c r="P631" i="1" a="1"/>
  <c r="P631" i="1"/>
  <c r="P632" i="1" a="1"/>
  <c r="P632" i="1" s="1"/>
  <c r="P633" i="1" a="1"/>
  <c r="P633" i="1"/>
  <c r="P634" i="1" a="1"/>
  <c r="P634" i="1" s="1"/>
  <c r="P635" i="1" a="1"/>
  <c r="P635" i="1" s="1"/>
  <c r="P636" i="1" a="1"/>
  <c r="P636" i="1" s="1"/>
  <c r="P637" i="1" a="1"/>
  <c r="P637" i="1" s="1"/>
  <c r="P638" i="1" a="1"/>
  <c r="P638" i="1" s="1"/>
  <c r="P639" i="1" a="1"/>
  <c r="P639" i="1"/>
  <c r="P640" i="1" a="1"/>
  <c r="P640" i="1" s="1"/>
  <c r="P641" i="1" a="1"/>
  <c r="P641" i="1"/>
  <c r="P642" i="1" a="1"/>
  <c r="P642" i="1" s="1"/>
  <c r="P643" i="1" a="1"/>
  <c r="P643" i="1" s="1"/>
  <c r="P644" i="1" a="1"/>
  <c r="P644" i="1" s="1"/>
  <c r="P645" i="1" a="1"/>
  <c r="P645" i="1" s="1"/>
  <c r="P646" i="1" a="1"/>
  <c r="P646" i="1" s="1"/>
  <c r="P647" i="1" a="1"/>
  <c r="P647" i="1"/>
  <c r="P648" i="1" a="1"/>
  <c r="P648" i="1" s="1"/>
  <c r="P649" i="1" a="1"/>
  <c r="P649" i="1"/>
  <c r="P650" i="1" a="1"/>
  <c r="P650" i="1" s="1"/>
  <c r="P651" i="1" a="1"/>
  <c r="P651" i="1" s="1"/>
  <c r="P652" i="1" a="1"/>
  <c r="P652" i="1"/>
  <c r="P653" i="1" a="1"/>
  <c r="P653" i="1" s="1"/>
  <c r="P654" i="1" a="1"/>
  <c r="P654" i="1"/>
  <c r="P655" i="1" a="1"/>
  <c r="P655" i="1" s="1"/>
  <c r="P656" i="1" a="1"/>
  <c r="P656" i="1"/>
  <c r="P657" i="1" a="1"/>
  <c r="P657" i="1" s="1"/>
  <c r="P658" i="1" a="1"/>
  <c r="P658" i="1"/>
  <c r="P659" i="1" a="1"/>
  <c r="P659" i="1" s="1"/>
  <c r="P660" i="1" a="1"/>
  <c r="P660" i="1"/>
  <c r="P661" i="1" a="1"/>
  <c r="P661" i="1" s="1"/>
  <c r="P662" i="1" a="1"/>
  <c r="P662" i="1"/>
  <c r="P663" i="1" a="1"/>
  <c r="P663" i="1" s="1"/>
  <c r="P664" i="1" a="1"/>
  <c r="P664" i="1"/>
  <c r="P665" i="1" a="1"/>
  <c r="P665" i="1" s="1"/>
  <c r="P666" i="1" a="1"/>
  <c r="P666" i="1"/>
  <c r="P667" i="1" a="1"/>
  <c r="P667" i="1" s="1"/>
  <c r="P668" i="1" a="1"/>
  <c r="P668" i="1"/>
  <c r="P669" i="1" a="1"/>
  <c r="P669" i="1" s="1"/>
  <c r="P670" i="1" a="1"/>
  <c r="P670" i="1"/>
  <c r="P671" i="1" a="1"/>
  <c r="P671" i="1" s="1"/>
  <c r="P672" i="1" a="1"/>
  <c r="P672" i="1"/>
  <c r="P673" i="1" a="1"/>
  <c r="P673" i="1" s="1"/>
  <c r="P674" i="1" a="1"/>
  <c r="P674" i="1"/>
  <c r="P675" i="1" a="1"/>
  <c r="P675" i="1" s="1"/>
  <c r="P676" i="1" a="1"/>
  <c r="P676" i="1"/>
  <c r="P677" i="1" a="1"/>
  <c r="P677" i="1" s="1"/>
  <c r="P678" i="1" a="1"/>
  <c r="P678" i="1"/>
  <c r="P679" i="1" a="1"/>
  <c r="P679" i="1" s="1"/>
  <c r="P680" i="1" a="1"/>
  <c r="P680" i="1"/>
  <c r="P681" i="1" a="1"/>
  <c r="P681" i="1" s="1"/>
  <c r="P682" i="1" a="1"/>
  <c r="P682" i="1"/>
  <c r="P683" i="1" a="1"/>
  <c r="P683" i="1" s="1"/>
  <c r="P684" i="1" a="1"/>
  <c r="P684" i="1"/>
  <c r="P685" i="1" a="1"/>
  <c r="P685" i="1" s="1"/>
  <c r="P686" i="1" a="1"/>
  <c r="P686" i="1"/>
  <c r="P687" i="1" a="1"/>
  <c r="P687" i="1" s="1"/>
  <c r="P688" i="1" a="1"/>
  <c r="P688" i="1"/>
  <c r="P689" i="1" a="1"/>
  <c r="P689" i="1" s="1"/>
  <c r="P690" i="1" a="1"/>
  <c r="P690" i="1"/>
  <c r="P691" i="1" a="1"/>
  <c r="P691" i="1" s="1"/>
  <c r="P692" i="1" a="1"/>
  <c r="P692" i="1"/>
  <c r="P693" i="1" a="1"/>
  <c r="P693" i="1" s="1"/>
  <c r="P694" i="1" a="1"/>
  <c r="P694" i="1"/>
  <c r="P695" i="1" a="1"/>
  <c r="P695" i="1" s="1"/>
  <c r="P696" i="1" a="1"/>
  <c r="P696" i="1"/>
  <c r="P697" i="1" a="1"/>
  <c r="P697" i="1" s="1"/>
  <c r="P698" i="1" a="1"/>
  <c r="P698" i="1"/>
  <c r="P699" i="1" a="1"/>
  <c r="P699" i="1" s="1"/>
  <c r="P700" i="1" a="1"/>
  <c r="P700" i="1"/>
  <c r="P701" i="1" a="1"/>
  <c r="P701" i="1" s="1"/>
  <c r="P702" i="1" a="1"/>
  <c r="P702" i="1"/>
  <c r="P703" i="1" a="1"/>
  <c r="P703" i="1" s="1"/>
  <c r="P704" i="1" a="1"/>
  <c r="P704" i="1"/>
  <c r="P705" i="1" a="1"/>
  <c r="P705" i="1" s="1"/>
  <c r="P706" i="1" a="1"/>
  <c r="P706" i="1"/>
  <c r="P707" i="1" a="1"/>
  <c r="P707" i="1" s="1"/>
  <c r="P708" i="1" a="1"/>
  <c r="P708" i="1"/>
  <c r="P709" i="1" a="1"/>
  <c r="P709" i="1" s="1"/>
  <c r="P710" i="1" a="1"/>
  <c r="P710" i="1"/>
  <c r="P711" i="1" a="1"/>
  <c r="P711" i="1" s="1"/>
  <c r="P712" i="1" a="1"/>
  <c r="P712" i="1"/>
  <c r="P713" i="1" a="1"/>
  <c r="P713" i="1" s="1"/>
  <c r="P714" i="1" a="1"/>
  <c r="P714" i="1"/>
  <c r="P715" i="1" a="1"/>
  <c r="P715" i="1" s="1"/>
  <c r="P716" i="1" a="1"/>
  <c r="P716" i="1"/>
  <c r="P717" i="1" a="1"/>
  <c r="P717" i="1" s="1"/>
  <c r="P718" i="1" a="1"/>
  <c r="P718" i="1"/>
  <c r="P719" i="1" a="1"/>
  <c r="P719" i="1" s="1"/>
  <c r="P720" i="1" a="1"/>
  <c r="P720" i="1"/>
  <c r="P721" i="1" a="1"/>
  <c r="P721" i="1" s="1"/>
  <c r="P722" i="1" a="1"/>
  <c r="P722" i="1"/>
  <c r="P723" i="1" a="1"/>
  <c r="P723" i="1" s="1"/>
  <c r="P724" i="1" a="1"/>
  <c r="P724" i="1"/>
  <c r="P725" i="1" a="1"/>
  <c r="P725" i="1" s="1"/>
  <c r="P726" i="1" a="1"/>
  <c r="P726" i="1"/>
  <c r="P727" i="1" a="1"/>
  <c r="P727" i="1" s="1"/>
  <c r="P728" i="1" a="1"/>
  <c r="P728" i="1"/>
  <c r="P729" i="1" a="1"/>
  <c r="P729" i="1" s="1"/>
  <c r="P730" i="1" a="1"/>
  <c r="P730" i="1"/>
  <c r="P731" i="1" a="1"/>
  <c r="P731" i="1" s="1"/>
  <c r="P732" i="1" a="1"/>
  <c r="P732" i="1"/>
  <c r="P733" i="1" a="1"/>
  <c r="P733" i="1" s="1"/>
  <c r="P734" i="1" a="1"/>
  <c r="P734" i="1"/>
  <c r="P735" i="1" a="1"/>
  <c r="P735" i="1" s="1"/>
  <c r="P736" i="1" a="1"/>
  <c r="P736" i="1"/>
  <c r="P737" i="1" a="1"/>
  <c r="P737" i="1" s="1"/>
  <c r="P738" i="1" a="1"/>
  <c r="P738" i="1"/>
  <c r="P739" i="1" a="1"/>
  <c r="P739" i="1" s="1"/>
  <c r="P740" i="1" a="1"/>
  <c r="P740" i="1"/>
  <c r="P741" i="1" a="1"/>
  <c r="P741" i="1" s="1"/>
  <c r="P742" i="1" a="1"/>
  <c r="P742" i="1"/>
  <c r="P743" i="1" a="1"/>
  <c r="P743" i="1" s="1"/>
  <c r="P744" i="1" a="1"/>
  <c r="P744" i="1"/>
  <c r="P745" i="1" a="1"/>
  <c r="P745" i="1" s="1"/>
  <c r="P746" i="1" a="1"/>
  <c r="P746" i="1"/>
  <c r="P747" i="1" a="1"/>
  <c r="P747" i="1" s="1"/>
  <c r="P748" i="1" a="1"/>
  <c r="P748" i="1"/>
  <c r="P749" i="1" a="1"/>
  <c r="P749" i="1" s="1"/>
  <c r="P750" i="1" a="1"/>
  <c r="P750" i="1"/>
  <c r="P751" i="1" a="1"/>
  <c r="P751" i="1" s="1"/>
  <c r="P752" i="1" a="1"/>
  <c r="P752" i="1"/>
  <c r="P753" i="1" a="1"/>
  <c r="P753" i="1" s="1"/>
  <c r="P754" i="1" a="1"/>
  <c r="P754" i="1"/>
  <c r="P755" i="1" a="1"/>
  <c r="P755" i="1" s="1"/>
  <c r="P756" i="1" a="1"/>
  <c r="P756" i="1"/>
  <c r="P757" i="1" a="1"/>
  <c r="P757" i="1" s="1"/>
  <c r="P758" i="1" a="1"/>
  <c r="P758" i="1"/>
  <c r="P759" i="1" a="1"/>
  <c r="P759" i="1" s="1"/>
  <c r="P760" i="1" a="1"/>
  <c r="P760" i="1"/>
  <c r="P761" i="1" a="1"/>
  <c r="P761" i="1" s="1"/>
  <c r="P762" i="1" a="1"/>
  <c r="P762" i="1"/>
  <c r="P763" i="1" a="1"/>
  <c r="P763" i="1" s="1"/>
  <c r="P764" i="1" a="1"/>
  <c r="P764" i="1"/>
  <c r="P765" i="1" a="1"/>
  <c r="P765" i="1" s="1"/>
  <c r="P766" i="1" a="1"/>
  <c r="P766" i="1"/>
  <c r="P767" i="1" a="1"/>
  <c r="P767" i="1" s="1"/>
  <c r="P768" i="1" a="1"/>
  <c r="P768" i="1"/>
  <c r="P769" i="1" a="1"/>
  <c r="P769" i="1" s="1"/>
  <c r="P770" i="1" a="1"/>
  <c r="P770" i="1"/>
  <c r="P771" i="1" a="1"/>
  <c r="P771" i="1" s="1"/>
  <c r="P772" i="1" a="1"/>
  <c r="P772" i="1"/>
  <c r="P773" i="1" a="1"/>
  <c r="P773" i="1" s="1"/>
  <c r="P774" i="1" a="1"/>
  <c r="P774" i="1"/>
  <c r="P775" i="1" a="1"/>
  <c r="P775" i="1" s="1"/>
  <c r="P776" i="1" a="1"/>
  <c r="P776" i="1"/>
  <c r="P777" i="1" a="1"/>
  <c r="P777" i="1" s="1"/>
  <c r="P778" i="1" a="1"/>
  <c r="P778" i="1"/>
  <c r="P779" i="1" a="1"/>
  <c r="P779" i="1" s="1"/>
  <c r="P780" i="1" a="1"/>
  <c r="P780" i="1"/>
  <c r="P781" i="1" a="1"/>
  <c r="P781" i="1" s="1"/>
  <c r="P782" i="1" a="1"/>
  <c r="P782" i="1"/>
  <c r="P783" i="1" a="1"/>
  <c r="P783" i="1" s="1"/>
  <c r="P784" i="1" a="1"/>
  <c r="P784" i="1"/>
  <c r="P785" i="1" a="1"/>
  <c r="P785" i="1" s="1"/>
  <c r="P786" i="1" a="1"/>
  <c r="P786" i="1"/>
  <c r="P787" i="1" a="1"/>
  <c r="P787" i="1" s="1"/>
  <c r="P788" i="1" a="1"/>
  <c r="P788" i="1"/>
  <c r="P789" i="1" a="1"/>
  <c r="P789" i="1" s="1"/>
  <c r="P790" i="1" a="1"/>
  <c r="P790" i="1"/>
  <c r="P791" i="1" a="1"/>
  <c r="P791" i="1" s="1"/>
  <c r="P792" i="1" a="1"/>
  <c r="P792" i="1"/>
  <c r="P793" i="1" a="1"/>
  <c r="P793" i="1" s="1"/>
  <c r="P794" i="1" a="1"/>
  <c r="P794" i="1"/>
  <c r="P795" i="1" a="1"/>
  <c r="P795" i="1" s="1"/>
  <c r="P796" i="1" a="1"/>
  <c r="P796" i="1"/>
  <c r="P797" i="1" a="1"/>
  <c r="P797" i="1" s="1"/>
  <c r="P798" i="1" a="1"/>
  <c r="P798" i="1"/>
  <c r="P799" i="1" a="1"/>
  <c r="P799" i="1" s="1"/>
  <c r="P800" i="1" a="1"/>
  <c r="P800" i="1"/>
  <c r="P801" i="1" a="1"/>
  <c r="P801" i="1" s="1"/>
  <c r="P802" i="1" a="1"/>
  <c r="P802" i="1"/>
  <c r="P803" i="1" a="1"/>
  <c r="P803" i="1" s="1"/>
  <c r="P804" i="1" a="1"/>
  <c r="P804" i="1"/>
  <c r="P805" i="1" a="1"/>
  <c r="P805" i="1" s="1"/>
  <c r="P806" i="1" a="1"/>
  <c r="P806" i="1"/>
  <c r="P807" i="1" a="1"/>
  <c r="P807" i="1" s="1"/>
  <c r="P808" i="1" a="1"/>
  <c r="P808" i="1"/>
  <c r="P809" i="1" a="1"/>
  <c r="P809" i="1" s="1"/>
  <c r="P810" i="1" a="1"/>
  <c r="P810" i="1"/>
  <c r="P811" i="1" a="1"/>
  <c r="P811" i="1" s="1"/>
  <c r="P812" i="1" a="1"/>
  <c r="P812" i="1"/>
  <c r="P813" i="1" a="1"/>
  <c r="P813" i="1" s="1"/>
  <c r="P814" i="1" a="1"/>
  <c r="P814" i="1"/>
  <c r="P815" i="1" a="1"/>
  <c r="P815" i="1" s="1"/>
  <c r="P816" i="1" a="1"/>
  <c r="P816" i="1"/>
  <c r="P817" i="1" a="1"/>
  <c r="P817" i="1" s="1"/>
  <c r="P818" i="1" a="1"/>
  <c r="P818" i="1"/>
  <c r="P819" i="1" a="1"/>
  <c r="P819" i="1" s="1"/>
  <c r="P820" i="1" a="1"/>
  <c r="P820" i="1"/>
  <c r="P821" i="1" a="1"/>
  <c r="P821" i="1" s="1"/>
  <c r="P822" i="1" a="1"/>
  <c r="P822" i="1"/>
  <c r="P823" i="1" a="1"/>
  <c r="P823" i="1" s="1"/>
  <c r="P824" i="1" a="1"/>
  <c r="P824" i="1"/>
  <c r="P825" i="1" a="1"/>
  <c r="P825" i="1" s="1"/>
  <c r="P826" i="1" a="1"/>
  <c r="P826" i="1"/>
  <c r="P827" i="1" a="1"/>
  <c r="P827" i="1" s="1"/>
  <c r="P828" i="1" a="1"/>
  <c r="P828" i="1"/>
  <c r="P829" i="1" a="1"/>
  <c r="P829" i="1" s="1"/>
  <c r="P830" i="1" a="1"/>
  <c r="P830" i="1"/>
  <c r="P831" i="1" a="1"/>
  <c r="P831" i="1" s="1"/>
  <c r="P832" i="1" a="1"/>
  <c r="P832" i="1"/>
  <c r="P833" i="1" a="1"/>
  <c r="P833" i="1" s="1"/>
  <c r="P834" i="1" a="1"/>
  <c r="P834" i="1"/>
  <c r="P835" i="1" a="1"/>
  <c r="P835" i="1" s="1"/>
  <c r="P836" i="1" a="1"/>
  <c r="P836" i="1"/>
  <c r="P837" i="1" a="1"/>
  <c r="P837" i="1" s="1"/>
  <c r="P838" i="1" a="1"/>
  <c r="P838" i="1"/>
  <c r="P839" i="1" a="1"/>
  <c r="P839" i="1" s="1"/>
  <c r="P840" i="1" a="1"/>
  <c r="P840" i="1"/>
  <c r="P841" i="1" a="1"/>
  <c r="P841" i="1" s="1"/>
  <c r="P842" i="1" a="1"/>
  <c r="P842" i="1"/>
  <c r="P843" i="1" a="1"/>
  <c r="P843" i="1" s="1"/>
  <c r="P844" i="1" a="1"/>
  <c r="P844" i="1"/>
  <c r="P845" i="1" a="1"/>
  <c r="P845" i="1" s="1"/>
  <c r="P846" i="1" a="1"/>
  <c r="P846" i="1"/>
  <c r="P847" i="1" a="1"/>
  <c r="P847" i="1" s="1"/>
  <c r="P848" i="1" a="1"/>
  <c r="P848" i="1"/>
  <c r="P849" i="1" a="1"/>
  <c r="P849" i="1" s="1"/>
  <c r="P850" i="1" a="1"/>
  <c r="P850" i="1"/>
  <c r="P851" i="1" a="1"/>
  <c r="P851" i="1" s="1"/>
  <c r="P852" i="1" a="1"/>
  <c r="P852" i="1"/>
  <c r="P853" i="1" a="1"/>
  <c r="P853" i="1" s="1"/>
  <c r="P854" i="1" a="1"/>
  <c r="P854" i="1"/>
  <c r="P855" i="1" a="1"/>
  <c r="P855" i="1" s="1"/>
  <c r="P856" i="1" a="1"/>
  <c r="P856" i="1"/>
  <c r="P857" i="1" a="1"/>
  <c r="P857" i="1" s="1"/>
  <c r="P858" i="1" a="1"/>
  <c r="P858" i="1"/>
  <c r="P859" i="1" a="1"/>
  <c r="P859" i="1" s="1"/>
  <c r="P860" i="1" a="1"/>
  <c r="P860" i="1"/>
  <c r="P861" i="1" a="1"/>
  <c r="P861" i="1" s="1"/>
  <c r="P862" i="1" a="1"/>
  <c r="P862" i="1"/>
  <c r="P863" i="1" a="1"/>
  <c r="P863" i="1" s="1"/>
  <c r="P864" i="1" a="1"/>
  <c r="P864" i="1"/>
  <c r="P865" i="1" a="1"/>
  <c r="P865" i="1" s="1"/>
  <c r="P866" i="1" a="1"/>
  <c r="P866" i="1"/>
  <c r="P867" i="1" a="1"/>
  <c r="P867" i="1" s="1"/>
  <c r="P868" i="1" a="1"/>
  <c r="P868" i="1"/>
  <c r="P869" i="1" a="1"/>
  <c r="P869" i="1" s="1"/>
  <c r="P870" i="1" a="1"/>
  <c r="P870" i="1"/>
  <c r="P871" i="1" a="1"/>
  <c r="P871" i="1" s="1"/>
  <c r="P872" i="1" a="1"/>
  <c r="P872" i="1"/>
  <c r="P873" i="1" a="1"/>
  <c r="P873" i="1" s="1"/>
  <c r="P874" i="1" a="1"/>
  <c r="P874" i="1"/>
  <c r="P875" i="1" a="1"/>
  <c r="P875" i="1" s="1"/>
  <c r="P876" i="1" a="1"/>
  <c r="P876" i="1"/>
  <c r="P877" i="1" a="1"/>
  <c r="P877" i="1" s="1"/>
  <c r="P878" i="1" a="1"/>
  <c r="P878" i="1"/>
  <c r="P879" i="1" a="1"/>
  <c r="P879" i="1" s="1"/>
  <c r="P880" i="1" a="1"/>
  <c r="P880" i="1"/>
  <c r="P881" i="1" a="1"/>
  <c r="P881" i="1" s="1"/>
  <c r="P882" i="1" a="1"/>
  <c r="P882" i="1"/>
  <c r="P883" i="1" a="1"/>
  <c r="P883" i="1" s="1"/>
  <c r="P884" i="1" a="1"/>
  <c r="P884" i="1"/>
  <c r="P885" i="1" a="1"/>
  <c r="P885" i="1" s="1"/>
  <c r="P886" i="1" a="1"/>
  <c r="P886" i="1"/>
  <c r="P887" i="1" a="1"/>
  <c r="P887" i="1" s="1"/>
  <c r="P888" i="1" a="1"/>
  <c r="P888" i="1"/>
  <c r="P889" i="1" a="1"/>
  <c r="P889" i="1" s="1"/>
  <c r="P890" i="1" a="1"/>
  <c r="P890" i="1"/>
  <c r="P891" i="1" a="1"/>
  <c r="P891" i="1" s="1"/>
  <c r="P892" i="1" a="1"/>
  <c r="P892" i="1"/>
  <c r="P893" i="1" a="1"/>
  <c r="P893" i="1" s="1"/>
  <c r="P894" i="1" a="1"/>
  <c r="P894" i="1"/>
  <c r="P895" i="1" a="1"/>
  <c r="P895" i="1" s="1"/>
  <c r="P896" i="1" a="1"/>
  <c r="P896" i="1"/>
  <c r="P897" i="1" a="1"/>
  <c r="P897" i="1" s="1"/>
  <c r="P898" i="1" a="1"/>
  <c r="P898" i="1"/>
  <c r="P899" i="1" a="1"/>
  <c r="P899" i="1" s="1"/>
  <c r="P900" i="1" a="1"/>
  <c r="P900" i="1"/>
  <c r="P901" i="1" a="1"/>
  <c r="P901" i="1" s="1"/>
  <c r="P902" i="1" a="1"/>
  <c r="P902" i="1"/>
  <c r="P903" i="1" a="1"/>
  <c r="P903" i="1" s="1"/>
  <c r="P904" i="1" a="1"/>
  <c r="P904" i="1"/>
  <c r="P905" i="1" a="1"/>
  <c r="P905" i="1" s="1"/>
  <c r="P906" i="1" a="1"/>
  <c r="P906" i="1"/>
  <c r="P907" i="1" a="1"/>
  <c r="P907" i="1" s="1"/>
  <c r="P908" i="1" a="1"/>
  <c r="P908" i="1"/>
  <c r="P909" i="1" a="1"/>
  <c r="P909" i="1" s="1"/>
  <c r="P910" i="1" a="1"/>
  <c r="P910" i="1"/>
  <c r="P911" i="1" a="1"/>
  <c r="P911" i="1" s="1"/>
  <c r="P912" i="1" a="1"/>
  <c r="P912" i="1"/>
  <c r="P913" i="1" a="1"/>
  <c r="P913" i="1" s="1"/>
  <c r="P914" i="1" a="1"/>
  <c r="P914" i="1"/>
  <c r="P915" i="1" a="1"/>
  <c r="P915" i="1" s="1"/>
  <c r="P916" i="1" a="1"/>
  <c r="P916" i="1"/>
  <c r="P917" i="1" a="1"/>
  <c r="P917" i="1" s="1"/>
  <c r="P918" i="1" a="1"/>
  <c r="P918" i="1"/>
  <c r="P919" i="1" a="1"/>
  <c r="P919" i="1" s="1"/>
  <c r="P920" i="1" a="1"/>
  <c r="P920" i="1"/>
  <c r="P921" i="1" a="1"/>
  <c r="P921" i="1" s="1"/>
  <c r="P922" i="1" a="1"/>
  <c r="P922" i="1"/>
  <c r="P923" i="1" a="1"/>
  <c r="P923" i="1" s="1"/>
  <c r="P924" i="1" a="1"/>
  <c r="P924" i="1"/>
  <c r="P925" i="1" a="1"/>
  <c r="P925" i="1" s="1"/>
  <c r="P926" i="1" a="1"/>
  <c r="P926" i="1"/>
  <c r="P927" i="1" a="1"/>
  <c r="P927" i="1" s="1"/>
  <c r="P928" i="1" a="1"/>
  <c r="P928" i="1"/>
  <c r="P929" i="1" a="1"/>
  <c r="P929" i="1" s="1"/>
  <c r="P930" i="1" a="1"/>
  <c r="P930" i="1"/>
  <c r="P931" i="1" a="1"/>
  <c r="P931" i="1" s="1"/>
  <c r="P932" i="1" a="1"/>
  <c r="P932" i="1"/>
  <c r="P933" i="1" a="1"/>
  <c r="P933" i="1" s="1"/>
  <c r="P934" i="1" a="1"/>
  <c r="P934" i="1"/>
  <c r="P935" i="1" a="1"/>
  <c r="P935" i="1" s="1"/>
  <c r="P936" i="1" a="1"/>
  <c r="P936" i="1"/>
  <c r="P937" i="1" a="1"/>
  <c r="P937" i="1" s="1"/>
  <c r="P938" i="1" a="1"/>
  <c r="P938" i="1"/>
  <c r="P939" i="1" a="1"/>
  <c r="P939" i="1" s="1"/>
  <c r="P940" i="1" a="1"/>
  <c r="P940" i="1"/>
  <c r="P941" i="1" a="1"/>
  <c r="P941" i="1" s="1"/>
  <c r="P942" i="1" a="1"/>
  <c r="P942" i="1"/>
  <c r="P943" i="1" a="1"/>
  <c r="P943" i="1" s="1"/>
  <c r="P944" i="1" a="1"/>
  <c r="P944" i="1"/>
  <c r="P945" i="1" a="1"/>
  <c r="P945" i="1" s="1"/>
  <c r="P946" i="1" a="1"/>
  <c r="P946" i="1"/>
  <c r="P947" i="1" a="1"/>
  <c r="P947" i="1" s="1"/>
  <c r="P948" i="1" a="1"/>
  <c r="P948" i="1"/>
  <c r="P949" i="1" a="1"/>
  <c r="P949" i="1" s="1"/>
  <c r="P950" i="1" a="1"/>
  <c r="P950" i="1"/>
  <c r="P951" i="1" a="1"/>
  <c r="P951" i="1" s="1"/>
  <c r="P952" i="1" a="1"/>
  <c r="P952" i="1"/>
  <c r="P953" i="1" a="1"/>
  <c r="P953" i="1" s="1"/>
  <c r="P954" i="1" a="1"/>
  <c r="P954" i="1"/>
  <c r="P955" i="1" a="1"/>
  <c r="P955" i="1" s="1"/>
  <c r="P956" i="1" a="1"/>
  <c r="P956" i="1"/>
  <c r="P957" i="1" a="1"/>
  <c r="P957" i="1" s="1"/>
  <c r="P958" i="1" a="1"/>
  <c r="P958" i="1"/>
  <c r="P959" i="1" a="1"/>
  <c r="P959" i="1" s="1"/>
  <c r="P960" i="1" a="1"/>
  <c r="P960" i="1"/>
  <c r="P961" i="1" a="1"/>
  <c r="P961" i="1" s="1"/>
  <c r="P962" i="1" a="1"/>
  <c r="P962" i="1"/>
  <c r="P963" i="1" a="1"/>
  <c r="P963" i="1" s="1"/>
  <c r="P964" i="1" a="1"/>
  <c r="P964" i="1"/>
  <c r="P965" i="1" a="1"/>
  <c r="P965" i="1" s="1"/>
  <c r="P966" i="1" a="1"/>
  <c r="P966" i="1"/>
  <c r="P967" i="1" a="1"/>
  <c r="P967" i="1" s="1"/>
  <c r="P968" i="1" a="1"/>
  <c r="P968" i="1"/>
  <c r="P969" i="1" a="1"/>
  <c r="P969" i="1" s="1"/>
  <c r="P970" i="1" a="1"/>
  <c r="P970" i="1"/>
  <c r="P971" i="1" a="1"/>
  <c r="P971" i="1" s="1"/>
  <c r="P972" i="1" a="1"/>
  <c r="P972" i="1"/>
  <c r="P973" i="1" a="1"/>
  <c r="P973" i="1" s="1"/>
  <c r="P974" i="1" a="1"/>
  <c r="P974" i="1"/>
  <c r="P975" i="1" a="1"/>
  <c r="P975" i="1" s="1"/>
  <c r="P976" i="1" a="1"/>
  <c r="P976" i="1"/>
  <c r="P977" i="1" a="1"/>
  <c r="P977" i="1" s="1"/>
  <c r="P978" i="1" a="1"/>
  <c r="P978" i="1"/>
  <c r="P979" i="1" a="1"/>
  <c r="P979" i="1" s="1"/>
  <c r="P980" i="1" a="1"/>
  <c r="P980" i="1"/>
  <c r="P981" i="1" a="1"/>
  <c r="P981" i="1" s="1"/>
  <c r="P982" i="1" a="1"/>
  <c r="P982" i="1"/>
  <c r="P983" i="1" a="1"/>
  <c r="P983" i="1" s="1"/>
  <c r="P984" i="1" a="1"/>
  <c r="P984" i="1"/>
  <c r="P985" i="1" a="1"/>
  <c r="P985" i="1" s="1"/>
  <c r="P986" i="1" a="1"/>
  <c r="P986" i="1"/>
  <c r="P987" i="1" a="1"/>
  <c r="P987" i="1" s="1"/>
  <c r="P988" i="1" a="1"/>
  <c r="P988" i="1"/>
  <c r="P989" i="1" a="1"/>
  <c r="P989" i="1" s="1"/>
  <c r="P990" i="1" a="1"/>
  <c r="P990" i="1"/>
  <c r="P991" i="1" a="1"/>
  <c r="P991" i="1" s="1"/>
  <c r="P992" i="1" a="1"/>
  <c r="P992" i="1"/>
  <c r="P993" i="1" a="1"/>
  <c r="P993" i="1" s="1"/>
  <c r="P994" i="1" a="1"/>
  <c r="P994" i="1"/>
  <c r="P995" i="1" a="1"/>
  <c r="P995" i="1" s="1"/>
  <c r="P996" i="1" a="1"/>
  <c r="P996" i="1"/>
  <c r="P997" i="1" a="1"/>
  <c r="P997" i="1" s="1"/>
  <c r="P998" i="1" a="1"/>
  <c r="P998" i="1"/>
  <c r="P999" i="1" a="1"/>
  <c r="P999" i="1" s="1"/>
  <c r="P1000" i="1" a="1"/>
  <c r="P1000" i="1"/>
  <c r="P1001" i="1" a="1"/>
  <c r="P1001" i="1" s="1"/>
  <c r="P3" i="1" a="1"/>
  <c r="P3" i="1" s="1"/>
  <c r="P4" i="1" a="1"/>
  <c r="P4" i="1"/>
  <c r="P5" i="1" a="1"/>
  <c r="P5" i="1" s="1"/>
  <c r="P6" i="1" a="1"/>
  <c r="P6" i="1"/>
  <c r="P7" i="1" a="1"/>
  <c r="P7" i="1" s="1"/>
  <c r="P8" i="1" a="1"/>
  <c r="P8" i="1"/>
  <c r="P9" i="1" a="1"/>
  <c r="P9" i="1" s="1"/>
  <c r="P10" i="1" a="1"/>
  <c r="P10" i="1"/>
  <c r="P11" i="1" a="1"/>
  <c r="P11" i="1" s="1"/>
  <c r="P12" i="1" a="1"/>
  <c r="P12" i="1"/>
  <c r="P2" i="1" a="1"/>
  <c r="P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I5" i="2"/>
  <c r="G5" i="2"/>
  <c r="C5" i="2"/>
  <c r="A5" i="2"/>
  <c r="E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<sst xmlns="http://schemas.openxmlformats.org/spreadsheetml/2006/main" count="6082" uniqueCount="1784">
  <si>
    <t>Patient ID</t>
  </si>
  <si>
    <t>Patient Name</t>
  </si>
  <si>
    <t>Age</t>
  </si>
  <si>
    <t>Gender</t>
  </si>
  <si>
    <t>Admission Date</t>
  </si>
  <si>
    <t>Discharge Date</t>
  </si>
  <si>
    <t>Department</t>
  </si>
  <si>
    <t>Diagnosis</t>
  </si>
  <si>
    <t>Total Bill Amount</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</si>
  <si>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</si>
  <si>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</si>
  <si>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</si>
  <si>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</si>
  <si>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</si>
  <si>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</si>
  <si>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</si>
  <si>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</si>
  <si>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</si>
  <si>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</si>
  <si>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</si>
  <si>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</si>
  <si>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</si>
  <si>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</si>
  <si>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</si>
  <si>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</si>
  <si>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</si>
  <si>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</si>
  <si>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</si>
  <si>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</si>
  <si>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</si>
  <si>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</si>
  <si>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</si>
  <si>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</si>
  <si>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</si>
  <si>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</si>
  <si>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</si>
  <si>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</si>
  <si>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</si>
  <si>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</si>
  <si>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</si>
  <si>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</si>
  <si>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</si>
  <si>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</si>
  <si>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</si>
  <si>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</si>
  <si>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</si>
  <si>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</si>
  <si>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</si>
  <si>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</si>
  <si>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</si>
  <si>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</si>
  <si>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</si>
  <si>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</si>
  <si>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</si>
  <si>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</si>
  <si>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</si>
  <si>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</si>
  <si>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</si>
  <si>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</si>
  <si>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</si>
  <si>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</si>
  <si>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</si>
  <si>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</si>
  <si>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</si>
  <si>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</si>
  <si>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</si>
  <si>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</si>
  <si>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</si>
  <si>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</si>
  <si>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</si>
  <si>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</si>
  <si>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</si>
  <si>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</si>
  <si>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</si>
  <si>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</si>
  <si>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</si>
  <si>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</si>
  <si>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</si>
  <si>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</si>
  <si>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</si>
  <si>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</si>
  <si>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</si>
  <si>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</si>
  <si>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</si>
  <si>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</si>
  <si>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</si>
  <si>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</si>
  <si>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</si>
  <si>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</si>
  <si>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</si>
  <si>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</si>
  <si>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</si>
  <si>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</si>
  <si>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</si>
  <si>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</si>
  <si>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</si>
  <si>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</si>
  <si>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</si>
  <si>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</si>
  <si>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</si>
  <si>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</si>
  <si>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</si>
  <si>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</si>
  <si>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</si>
  <si>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</si>
  <si>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</si>
  <si>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</si>
  <si>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</si>
  <si>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</si>
  <si>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</si>
  <si>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</si>
  <si>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</si>
  <si>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</si>
  <si>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</si>
  <si>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</si>
  <si>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</si>
  <si>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</si>
  <si>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</si>
  <si>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</si>
  <si>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</si>
  <si>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</si>
  <si>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</si>
  <si>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</si>
  <si>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</si>
  <si>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</si>
  <si>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</si>
  <si>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</si>
  <si>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</si>
  <si>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</si>
  <si>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</si>
  <si>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</si>
  <si>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</si>
  <si>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</si>
  <si>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</si>
  <si>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</si>
  <si>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</si>
  <si>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</si>
  <si>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</si>
  <si>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</si>
  <si>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</si>
  <si>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</si>
  <si>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</si>
  <si>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</si>
  <si>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</si>
  <si>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</si>
  <si>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</si>
  <si>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</si>
  <si>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</si>
  <si>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</si>
  <si>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</si>
  <si>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</si>
  <si>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</si>
  <si>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</si>
  <si>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</si>
  <si>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</si>
  <si>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</si>
  <si>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</si>
  <si>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</si>
  <si>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</si>
  <si>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</si>
  <si>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</si>
  <si>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</si>
  <si>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</si>
  <si>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</si>
  <si>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</si>
  <si>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</si>
  <si>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</si>
  <si>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</si>
  <si>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</si>
  <si>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</si>
  <si>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</si>
  <si>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</si>
  <si>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</si>
  <si>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</si>
  <si>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</si>
  <si>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</si>
  <si>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</si>
  <si>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</si>
  <si>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</si>
  <si>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</si>
  <si>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</si>
  <si>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</si>
  <si>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</si>
  <si>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</si>
  <si>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</si>
  <si>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</si>
  <si>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</si>
  <si>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</si>
  <si>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</si>
  <si>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</si>
  <si>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</si>
  <si>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</si>
  <si>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</si>
  <si>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</si>
  <si>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</si>
  <si>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</si>
  <si>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</si>
  <si>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</si>
  <si>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</si>
  <si>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</si>
  <si>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</si>
  <si>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</si>
  <si>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</si>
  <si>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</si>
  <si>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</si>
  <si>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</si>
  <si>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</si>
  <si>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</si>
  <si>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</si>
  <si>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</si>
  <si>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</si>
  <si>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</si>
  <si>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</si>
  <si>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</si>
  <si>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</si>
  <si>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</si>
  <si>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</si>
  <si>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</si>
  <si>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</si>
  <si>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</si>
  <si>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</si>
  <si>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</si>
  <si>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</si>
  <si>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</si>
  <si>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</si>
  <si>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</si>
  <si>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</si>
  <si>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</si>
  <si>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</si>
  <si>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</si>
  <si>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</si>
  <si>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</si>
  <si>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</si>
  <si>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</si>
  <si>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</si>
  <si>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</si>
  <si>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</si>
  <si>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</si>
  <si>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</si>
  <si>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</si>
  <si>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</si>
  <si>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</si>
  <si>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</si>
  <si>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</si>
  <si>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</si>
  <si>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</si>
  <si>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</si>
  <si>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</si>
  <si>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</si>
  <si>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</si>
  <si>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</si>
  <si>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</si>
  <si>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</si>
  <si>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</si>
  <si>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</si>
  <si>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</si>
  <si>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</si>
  <si>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</si>
  <si>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</si>
  <si>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</si>
  <si>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</si>
  <si>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</si>
  <si>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</si>
  <si>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</si>
  <si>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</si>
  <si>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</si>
  <si>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</si>
  <si>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</si>
  <si>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</si>
  <si>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</si>
  <si>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</si>
  <si>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</si>
  <si>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</si>
  <si>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</si>
  <si>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</si>
  <si>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</si>
  <si>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</si>
  <si>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</si>
  <si>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</si>
  <si>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</si>
  <si>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</si>
  <si>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</si>
  <si>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</si>
  <si>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</si>
  <si>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</si>
  <si>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</si>
  <si>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</si>
  <si>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</si>
  <si>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</si>
  <si>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</si>
  <si>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</si>
  <si>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</si>
  <si>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</si>
  <si>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</si>
  <si>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</si>
  <si>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</si>
  <si>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</si>
  <si>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</si>
  <si>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</si>
  <si>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</si>
  <si>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</si>
  <si>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</si>
  <si>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</si>
  <si>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</si>
  <si>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</si>
  <si>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</si>
  <si>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</si>
  <si>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</si>
  <si>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</si>
  <si>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</si>
  <si>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</si>
  <si>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</si>
  <si>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</si>
  <si>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</si>
  <si>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</si>
  <si>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</si>
  <si>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</si>
  <si>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</si>
  <si>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</si>
  <si>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</si>
  <si>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</si>
  <si>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</si>
  <si>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</si>
  <si>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</si>
  <si>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</si>
  <si>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</si>
  <si>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</si>
  <si>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</si>
  <si>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</si>
  <si>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</si>
  <si>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</si>
  <si>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</si>
  <si>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</si>
  <si>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</si>
  <si>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</si>
  <si>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</si>
  <si>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</si>
  <si>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</si>
  <si>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</si>
  <si>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</si>
  <si>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</si>
  <si>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</si>
  <si>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</si>
  <si>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</si>
  <si>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</si>
  <si>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</si>
  <si>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</si>
  <si>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</si>
  <si>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</si>
  <si>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</si>
  <si>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</si>
  <si>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</si>
  <si>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</si>
  <si>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</si>
  <si>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</si>
  <si>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</si>
  <si>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</si>
  <si>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</si>
  <si>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</si>
  <si>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</si>
  <si>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</si>
  <si>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</si>
  <si>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</si>
  <si>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</si>
  <si>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</si>
  <si>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</si>
  <si>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</si>
  <si>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</si>
  <si>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</si>
  <si>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</si>
  <si>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</si>
  <si>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</si>
  <si>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</si>
  <si>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</si>
  <si>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</si>
  <si>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</si>
  <si>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</si>
  <si>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</si>
  <si>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</si>
  <si>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</si>
  <si>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</si>
  <si>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</si>
  <si>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</si>
  <si>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</si>
  <si>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</si>
  <si>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</si>
  <si>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</si>
  <si>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</si>
  <si>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</si>
  <si>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</si>
  <si>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</si>
  <si>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</si>
  <si>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</si>
  <si>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</si>
  <si>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</si>
  <si>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</si>
  <si>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</si>
  <si>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</si>
  <si>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</si>
  <si>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</si>
  <si>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</si>
  <si>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</si>
  <si>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</si>
  <si>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</si>
  <si>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</si>
  <si>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</si>
  <si>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</si>
  <si>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</si>
  <si>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</si>
  <si>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</si>
  <si>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</si>
  <si>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</si>
  <si>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</si>
  <si>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</si>
  <si>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</si>
  <si>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</si>
  <si>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</si>
  <si>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</si>
  <si>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</si>
  <si>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</si>
  <si>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</si>
  <si>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</si>
  <si>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</si>
  <si>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</si>
  <si>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</si>
  <si>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</si>
  <si>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</si>
  <si>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</si>
  <si>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</si>
  <si>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</si>
  <si>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</si>
  <si>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</si>
  <si>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</si>
  <si>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</si>
  <si>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</si>
  <si>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</si>
  <si>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</si>
  <si>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</si>
  <si>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</si>
  <si>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</si>
  <si>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</si>
  <si>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</si>
  <si>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</si>
  <si>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</si>
  <si>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</si>
  <si>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</si>
  <si>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</si>
  <si>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</si>
  <si>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</si>
  <si>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</si>
  <si>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</si>
  <si>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</si>
  <si>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</si>
  <si>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</si>
  <si>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</si>
  <si>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</si>
  <si>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</si>
  <si>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</si>
  <si>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</si>
  <si>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</si>
  <si>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</si>
  <si>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</si>
  <si>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</si>
  <si>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</si>
  <si>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</si>
  <si>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</si>
  <si>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</si>
  <si>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</si>
  <si>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</si>
  <si>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</si>
  <si>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</si>
  <si>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</si>
  <si>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</si>
  <si>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</si>
  <si>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</si>
  <si>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</si>
  <si>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</si>
  <si>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</si>
  <si>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</si>
  <si>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</si>
  <si>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</si>
  <si>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</si>
  <si>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</si>
  <si>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</si>
  <si>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</si>
  <si>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</si>
  <si>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</si>
  <si>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</si>
  <si>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</si>
  <si>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</si>
  <si>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</si>
  <si>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</si>
  <si>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</si>
  <si>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</si>
  <si>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</si>
  <si>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</si>
  <si>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</si>
  <si>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</si>
  <si>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</si>
  <si>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</si>
  <si>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</si>
  <si>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</si>
  <si>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</si>
  <si>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</si>
  <si>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</si>
  <si>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</si>
  <si>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</si>
  <si>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</si>
  <si>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</si>
  <si>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</si>
  <si>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</si>
  <si>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</si>
  <si>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</si>
  <si>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</si>
  <si>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</si>
  <si>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</si>
  <si>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</si>
  <si>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</si>
  <si>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</si>
  <si>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</si>
  <si>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</si>
  <si>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</si>
  <si>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</si>
  <si>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</si>
  <si>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</si>
  <si>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</si>
  <si>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</si>
  <si>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</si>
  <si>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</si>
  <si>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</si>
  <si>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</si>
  <si>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</si>
  <si>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</si>
  <si>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</si>
  <si>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</si>
  <si>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</si>
  <si>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</si>
  <si>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</si>
  <si>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</si>
  <si>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</si>
  <si>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</si>
  <si>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</si>
  <si>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</si>
  <si>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</si>
  <si>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</si>
  <si>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</si>
  <si>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</si>
  <si>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</si>
  <si>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</si>
  <si>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</si>
  <si>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</si>
  <si>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</si>
  <si>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</si>
  <si>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</si>
  <si>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</si>
  <si>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</si>
  <si>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</si>
  <si>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</si>
  <si>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</si>
  <si>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</si>
  <si>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</si>
  <si>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</si>
  <si>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</si>
  <si>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</si>
  <si>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</si>
  <si>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</si>
  <si>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</si>
  <si>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</si>
  <si>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</si>
  <si>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</si>
  <si>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</si>
  <si>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</si>
  <si>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</si>
  <si>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</si>
  <si>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</si>
  <si>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</si>
  <si>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</si>
  <si>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</si>
  <si>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</si>
  <si>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</si>
  <si>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</si>
  <si>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</si>
  <si>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</si>
  <si>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</si>
  <si>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</si>
  <si>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</si>
  <si>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</si>
  <si>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</si>
  <si>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</si>
  <si>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</si>
  <si>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</si>
  <si>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</si>
  <si>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</si>
  <si>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</si>
  <si>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</si>
  <si>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</si>
  <si>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</si>
  <si>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</si>
  <si>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</si>
  <si>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</si>
  <si>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</si>
  <si>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</si>
  <si>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</si>
  <si>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</si>
  <si>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</si>
  <si>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</si>
  <si>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</si>
  <si>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</si>
  <si>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</si>
  <si>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</si>
  <si>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</si>
  <si>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</si>
  <si>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</si>
  <si>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</si>
  <si>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</si>
  <si>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</si>
  <si>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</si>
  <si>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</si>
  <si>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</si>
  <si>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</si>
  <si>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</si>
  <si>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</si>
  <si>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</si>
  <si>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</si>
  <si>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</si>
  <si>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</si>
  <si>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</si>
  <si>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</si>
  <si>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</si>
  <si>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</si>
  <si>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</si>
  <si>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</si>
  <si>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</si>
  <si>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</si>
  <si>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</si>
  <si>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</si>
  <si>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</si>
  <si>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</si>
  <si>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</si>
  <si>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</si>
  <si>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</si>
  <si>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</si>
  <si>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</si>
  <si>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</si>
  <si>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</si>
  <si>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</si>
  <si>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</si>
  <si>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</si>
  <si>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</si>
  <si>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</si>
  <si>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</si>
  <si>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</si>
  <si>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</si>
  <si>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</si>
  <si>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</si>
  <si>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</si>
  <si>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</si>
  <si>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</si>
  <si>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</si>
  <si>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</si>
  <si>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</si>
  <si>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</si>
  <si>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</si>
  <si>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</si>
  <si>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</si>
  <si>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</si>
  <si>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</si>
  <si>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</si>
  <si>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</si>
  <si>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</si>
  <si>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</si>
  <si>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</si>
  <si>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</si>
  <si>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</si>
  <si>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</si>
  <si>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</si>
  <si>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</si>
  <si>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</si>
  <si>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</si>
  <si>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</si>
  <si>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</si>
  <si>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</si>
  <si>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</si>
  <si>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</si>
  <si>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</si>
  <si>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</si>
  <si>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</si>
  <si>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</si>
  <si>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</si>
  <si>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</si>
  <si>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</si>
  <si>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</si>
  <si>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</si>
  <si>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</si>
  <si>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</si>
  <si>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</si>
  <si>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</si>
  <si>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</si>
  <si>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</si>
  <si>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</si>
  <si>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</si>
  <si>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</si>
  <si>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</si>
  <si>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</si>
  <si>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</si>
  <si>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</si>
  <si>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</si>
  <si>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</si>
  <si>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</si>
  <si>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</si>
  <si>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</si>
  <si>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</si>
  <si>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</si>
  <si>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</si>
  <si>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</si>
  <si>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</si>
  <si>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</si>
  <si>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</si>
  <si>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</si>
  <si>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</si>
  <si>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</si>
  <si>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</si>
  <si>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</si>
  <si>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</si>
  <si>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</si>
  <si>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</si>
  <si>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</si>
  <si>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</si>
  <si>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</si>
  <si>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</si>
  <si>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</si>
  <si>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</si>
  <si>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</si>
  <si>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</si>
  <si>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</si>
  <si>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</si>
  <si>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</si>
  <si>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</si>
  <si>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</si>
  <si>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</si>
  <si>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</si>
  <si>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</si>
  <si>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</si>
  <si>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</si>
  <si>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</si>
  <si>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</si>
  <si>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</si>
  <si>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</si>
  <si>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</si>
  <si>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</si>
  <si>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</si>
  <si>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</si>
  <si>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</si>
  <si>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</si>
  <si>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</si>
  <si>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</si>
  <si>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</si>
  <si>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</si>
  <si>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</si>
  <si>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</si>
  <si>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</si>
  <si>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</si>
  <si>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</si>
  <si>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</si>
  <si>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</si>
  <si>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</si>
  <si>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</si>
  <si>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</si>
  <si>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</si>
  <si>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</si>
  <si>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</si>
  <si>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</si>
  <si>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</si>
  <si>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</si>
  <si>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</si>
  <si>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</si>
  <si>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</si>
  <si>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</si>
  <si>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</si>
  <si>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</si>
  <si>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</si>
  <si>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</si>
  <si>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</si>
  <si>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</si>
  <si>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</si>
  <si>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</si>
  <si>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</si>
  <si>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</si>
  <si>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</si>
  <si>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</si>
  <si>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</si>
  <si>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</si>
  <si>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</si>
  <si>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</si>
  <si>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</si>
  <si>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</si>
  <si>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</si>
  <si>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</si>
  <si>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</si>
  <si>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</si>
  <si>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</si>
  <si>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</si>
  <si>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</si>
  <si>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</si>
  <si>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</si>
  <si>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</si>
  <si>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</si>
  <si>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</si>
  <si>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</si>
  <si>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</si>
  <si>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</si>
  <si>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</si>
  <si>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</si>
  <si>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</si>
  <si>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</si>
  <si>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</si>
  <si>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</si>
  <si>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</si>
  <si>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</si>
  <si>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</si>
  <si>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</si>
  <si>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</si>
  <si>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</si>
  <si>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</si>
  <si>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</si>
  <si>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</si>
  <si>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</si>
  <si>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</si>
  <si>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</si>
  <si>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</si>
  <si>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</si>
  <si>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</si>
  <si>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</si>
  <si>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</si>
  <si>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</si>
  <si>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</si>
  <si>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</si>
  <si>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</si>
  <si>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</si>
  <si>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</si>
  <si>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</si>
  <si>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</si>
  <si>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</si>
  <si>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</si>
  <si>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</si>
  <si>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</si>
  <si>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</si>
  <si>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</si>
  <si>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</si>
  <si>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</si>
  <si>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</si>
  <si>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</si>
  <si>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</si>
  <si>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</si>
  <si>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</si>
  <si>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</si>
  <si>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</si>
  <si>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</si>
  <si>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</si>
  <si>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</si>
  <si>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</si>
  <si>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</si>
  <si>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</si>
  <si>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</si>
  <si>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</si>
  <si>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</si>
  <si>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</si>
  <si>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</si>
  <si>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</si>
  <si>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</si>
  <si>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</si>
  <si>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</si>
  <si>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</si>
  <si>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</si>
  <si>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</si>
  <si>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</si>
  <si>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</si>
  <si>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</si>
  <si>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</si>
  <si>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</si>
  <si>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</si>
  <si>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</si>
  <si>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</si>
  <si>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</si>
  <si>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</si>
  <si>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</si>
  <si>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</si>
  <si>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</si>
  <si>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</si>
  <si>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</si>
  <si>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</si>
  <si>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</si>
  <si>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</si>
  <si>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</si>
  <si>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</si>
  <si>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</si>
  <si>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</si>
  <si>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</si>
  <si>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</si>
  <si>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</si>
  <si>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</si>
  <si>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</si>
  <si>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</si>
  <si>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</si>
  <si>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</si>
  <si>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</si>
  <si>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</si>
  <si>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</si>
  <si>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</si>
  <si>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</si>
  <si>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</si>
  <si>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</si>
  <si>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</si>
  <si>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</si>
  <si>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</si>
  <si>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</si>
  <si>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</si>
  <si>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</si>
  <si>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</si>
  <si>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</si>
  <si>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</si>
  <si>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</si>
  <si>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</si>
  <si>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</si>
  <si>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</si>
  <si>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</si>
  <si>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</si>
  <si>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</si>
  <si>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</si>
  <si>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</si>
  <si>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</si>
  <si>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</si>
  <si>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</si>
  <si>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</si>
  <si>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</si>
  <si>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</si>
  <si>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</si>
  <si>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</si>
  <si>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</si>
  <si>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</si>
  <si>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</si>
  <si>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</si>
  <si>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</si>
  <si>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</si>
  <si>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</si>
  <si>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</si>
  <si>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</si>
  <si>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</si>
  <si>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</si>
  <si>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</si>
  <si>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</si>
  <si>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</si>
  <si>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</si>
  <si>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</si>
  <si>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</si>
  <si>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</si>
  <si>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</si>
  <si>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</si>
  <si>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</si>
  <si>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</si>
  <si>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</si>
  <si>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</si>
  <si>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</si>
  <si>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</si>
  <si>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</si>
  <si>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</si>
  <si>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</si>
  <si>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</si>
  <si>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</si>
  <si>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</si>
  <si>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</si>
  <si>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</si>
  <si>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</si>
  <si>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</si>
  <si>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</si>
  <si>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</si>
  <si>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</si>
  <si>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</si>
  <si>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</si>
  <si>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</si>
  <si>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</si>
  <si>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</si>
  <si>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</si>
  <si>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</si>
  <si>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</si>
  <si>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</si>
  <si>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</si>
  <si>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</si>
  <si>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</si>
  <si>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</si>
  <si>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</si>
  <si>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</si>
  <si>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</si>
  <si>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</si>
  <si>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</si>
  <si>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</si>
  <si>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</si>
  <si>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</si>
  <si>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</si>
  <si>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</si>
  <si>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</si>
  <si>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</si>
  <si>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</si>
  <si>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</si>
  <si>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</si>
  <si>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</si>
  <si>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</si>
  <si>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</si>
  <si>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</si>
  <si>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</si>
  <si>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</si>
  <si>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</si>
  <si>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</si>
  <si>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</si>
  <si>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</si>
  <si>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</si>
  <si>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</si>
  <si>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</si>
  <si>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</si>
  <si>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</si>
  <si>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</si>
  <si>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</si>
  <si>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</si>
  <si>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</si>
  <si>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</si>
  <si>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</si>
  <si>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</si>
  <si>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</si>
  <si>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</si>
  <si>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</si>
  <si>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</si>
  <si>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</si>
  <si>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</si>
  <si>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</si>
  <si>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</si>
  <si>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</si>
  <si>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</si>
  <si>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</si>
  <si>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</si>
  <si>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</si>
  <si>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</si>
  <si>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</si>
  <si>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</si>
  <si>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</si>
  <si>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</si>
  <si>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</si>
  <si>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</si>
  <si>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</si>
  <si>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</si>
  <si>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</si>
  <si>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</si>
  <si>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</si>
  <si>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</si>
  <si>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</si>
  <si>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</si>
  <si>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</si>
  <si>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</si>
  <si>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</si>
  <si>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</si>
  <si>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</si>
  <si>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</si>
  <si>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</si>
  <si>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</si>
  <si>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</si>
  <si>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</si>
  <si>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</si>
  <si>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</si>
  <si>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</si>
  <si>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</si>
  <si>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</si>
  <si>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</si>
  <si>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</si>
  <si>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</si>
  <si>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</si>
  <si>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</si>
  <si>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</si>
  <si>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</si>
  <si>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</si>
  <si>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</si>
  <si>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</si>
  <si>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</si>
  <si>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</si>
  <si>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</si>
  <si>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</si>
  <si>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</si>
  <si>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</si>
  <si>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</si>
  <si>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</si>
  <si>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</si>
  <si>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</si>
  <si>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</si>
  <si>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</si>
  <si>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</si>
  <si>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</si>
  <si>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</si>
  <si>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</si>
  <si>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</si>
  <si>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</si>
  <si>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</si>
  <si>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</si>
  <si>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</si>
  <si>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</si>
  <si>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</si>
  <si>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</si>
  <si>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</si>
  <si>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</si>
  <si>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</si>
  <si>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</si>
  <si>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</si>
  <si>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</si>
  <si>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</si>
  <si>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</si>
  <si>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</si>
  <si>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</si>
  <si>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</si>
  <si>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</si>
  <si>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</si>
  <si>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</si>
  <si>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</si>
  <si>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</si>
  <si>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</si>
  <si>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</si>
  <si>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</si>
  <si>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</si>
  <si>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</si>
  <si>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</si>
  <si>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</si>
  <si>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</si>
  <si>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</si>
  <si>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</si>
  <si>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</si>
  <si>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</si>
  <si>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</si>
  <si>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</si>
  <si>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</si>
  <si>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</si>
  <si>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</si>
  <si>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</si>
  <si>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</si>
  <si>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</si>
  <si>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</si>
  <si>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</si>
  <si>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</si>
  <si>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</si>
  <si>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</si>
  <si>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</si>
  <si>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</si>
  <si>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</si>
  <si>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</si>
  <si>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</si>
  <si>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</si>
  <si>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</si>
  <si>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</si>
  <si>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</si>
  <si>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</si>
  <si>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</si>
  <si>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</si>
  <si>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</si>
  <si>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</si>
  <si>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</si>
  <si>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</si>
  <si>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</si>
  <si>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</si>
  <si>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</si>
  <si>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</si>
  <si>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</si>
  <si>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</si>
  <si>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</si>
  <si>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</si>
  <si>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</si>
  <si>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</si>
  <si>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</si>
  <si>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</si>
  <si>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</si>
  <si>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</si>
  <si>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</si>
  <si>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</si>
  <si>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</si>
  <si>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</si>
  <si>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</si>
  <si>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</si>
  <si>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</si>
  <si>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</si>
  <si>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</si>
  <si>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</si>
  <si>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</si>
  <si>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</si>
  <si>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</si>
  <si>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</si>
  <si>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</si>
  <si>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</si>
  <si>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</si>
  <si>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</si>
  <si>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</si>
  <si>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</si>
  <si>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</si>
  <si>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</si>
  <si>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</si>
  <si>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</si>
  <si>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</si>
  <si>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</si>
  <si>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</si>
  <si>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</si>
  <si>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</si>
  <si>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</si>
  <si>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</si>
  <si>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</si>
  <si>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</si>
  <si>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</si>
  <si>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</si>
  <si>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</si>
  <si>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</si>
  <si>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</si>
  <si>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</si>
  <si>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</si>
  <si>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</si>
  <si>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</si>
  <si>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</si>
  <si>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</si>
  <si>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</si>
  <si>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</si>
  <si>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</si>
  <si>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</si>
  <si>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</si>
  <si>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</si>
  <si>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</si>
  <si>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</si>
  <si>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</si>
  <si>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</si>
  <si>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</si>
  <si>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</si>
  <si>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</si>
  <si>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</si>
  <si>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</si>
  <si>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</si>
  <si>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</si>
  <si>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</si>
  <si>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</si>
  <si>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</si>
  <si>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</si>
  <si>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</si>
  <si>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</si>
  <si>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</si>
  <si>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</si>
  <si>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</si>
  <si>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</si>
  <si>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</si>
  <si>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</si>
  <si>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</si>
  <si>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</si>
  <si>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</si>
  <si>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</si>
  <si>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</si>
  <si>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</si>
  <si>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</si>
  <si>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</si>
  <si>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</si>
  <si>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</si>
  <si>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</si>
  <si>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</si>
  <si>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</si>
  <si>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</si>
  <si>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</si>
  <si>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</si>
  <si>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</si>
  <si>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</si>
  <si>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</si>
  <si>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</si>
  <si>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</si>
  <si>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</si>
  <si>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</si>
  <si>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</si>
  <si>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</si>
  <si>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</si>
  <si>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</si>
  <si>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</si>
  <si>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</si>
  <si>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</si>
  <si>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</si>
  <si>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</si>
  <si>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</si>
  <si>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</si>
  <si>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</si>
  <si>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</si>
  <si>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</si>
  <si>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</si>
  <si>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</si>
  <si>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</si>
  <si>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</si>
  <si>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</si>
  <si>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</si>
  <si>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</si>
  <si>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</si>
  <si>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</si>
  <si>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</si>
  <si>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</si>
  <si>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</si>
  <si>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</si>
  <si>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</si>
  <si>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</si>
  <si>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</si>
  <si>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</si>
  <si>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</si>
  <si>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</si>
  <si>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</si>
  <si>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</si>
  <si>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</si>
  <si>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</si>
  <si>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</si>
  <si>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</si>
  <si>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</si>
  <si>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</si>
  <si>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</si>
  <si>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</si>
  <si>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</si>
  <si>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</si>
  <si>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</si>
  <si>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</si>
  <si>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</si>
  <si>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</si>
  <si>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</si>
  <si>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</si>
  <si>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</si>
  <si>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</si>
  <si>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</si>
  <si>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</si>
  <si>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</si>
  <si>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</si>
  <si>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</si>
  <si>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</si>
  <si>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</si>
  <si>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</si>
  <si>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</si>
  <si>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</si>
  <si>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</si>
  <si>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</si>
  <si>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</si>
  <si>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</si>
  <si>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</si>
  <si>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</si>
  <si>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</si>
  <si>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</si>
  <si>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</si>
  <si>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</si>
  <si>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</si>
  <si>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</si>
  <si>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</si>
  <si>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</si>
  <si>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</si>
  <si>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</si>
  <si>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</si>
  <si>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</si>
  <si>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</si>
  <si>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</si>
  <si>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</si>
  <si>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</si>
  <si>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</si>
  <si>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</si>
  <si>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</si>
  <si>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</si>
  <si>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</si>
  <si>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</si>
  <si>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</si>
  <si>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</si>
  <si>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</si>
  <si>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</si>
  <si>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</si>
  <si>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</si>
  <si>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</si>
  <si>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</si>
  <si>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</si>
  <si>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</si>
  <si>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</si>
  <si>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</si>
  <si>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</si>
  <si>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</si>
  <si>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</si>
  <si>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</si>
  <si>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</si>
  <si>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</si>
  <si>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</si>
  <si>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</si>
  <si>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</si>
  <si>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</si>
  <si>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</si>
  <si>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</si>
  <si>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</si>
  <si>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</si>
  <si>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</si>
  <si>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</si>
  <si>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</si>
  <si>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</si>
  <si>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</si>
  <si>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</si>
  <si>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</si>
  <si>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</si>
  <si>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</si>
  <si>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</si>
  <si>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</si>
  <si>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</si>
  <si>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</si>
  <si>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</si>
  <si>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</si>
  <si>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</si>
  <si>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</si>
  <si>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</si>
  <si>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</si>
  <si>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</si>
  <si>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</si>
  <si>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</si>
  <si>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</si>
  <si>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</si>
  <si>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</si>
  <si>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</si>
  <si>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</si>
  <si>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</si>
  <si>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</si>
  <si>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</si>
  <si>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</si>
  <si>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</si>
  <si>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</si>
  <si>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</si>
  <si>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</si>
  <si>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</si>
  <si>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</si>
  <si>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</si>
  <si>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</si>
  <si>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</si>
  <si>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</si>
  <si>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</si>
  <si>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</si>
  <si>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</si>
  <si>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</si>
  <si>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</si>
  <si>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</si>
  <si>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</si>
  <si>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</si>
  <si>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</si>
  <si>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</si>
  <si>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</si>
  <si>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</si>
  <si>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</si>
  <si>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</si>
  <si>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</si>
  <si>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</si>
  <si>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</si>
  <si>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</si>
  <si>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</si>
  <si>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</si>
  <si>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</si>
  <si>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</si>
  <si>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</si>
  <si>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</si>
  <si>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</si>
  <si>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</si>
  <si>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</si>
  <si>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</si>
  <si>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</si>
  <si>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</si>
  <si>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</si>
  <si>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</si>
  <si>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</si>
  <si>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</si>
  <si>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</si>
  <si>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</si>
  <si>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</si>
  <si>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</si>
  <si>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</si>
  <si>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</si>
  <si>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</si>
  <si>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</si>
  <si>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</si>
  <si>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</si>
  <si>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</si>
  <si>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</si>
  <si>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</si>
  <si>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</si>
  <si>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</si>
  <si>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</si>
  <si>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</si>
  <si>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</si>
  <si>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</si>
  <si>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</si>
  <si>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</si>
  <si>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</si>
  <si>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</si>
  <si>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</si>
  <si>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</si>
  <si>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</si>
  <si>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</si>
  <si>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</si>
  <si>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</si>
  <si>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</si>
  <si>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</si>
  <si>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</si>
  <si>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</si>
  <si>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</si>
  <si>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</si>
  <si>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</si>
  <si>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</si>
  <si>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</si>
  <si>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</si>
  <si>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</si>
  <si>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</si>
  <si>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</si>
  <si>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</si>
  <si>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</si>
  <si>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</si>
  <si>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</si>
  <si>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</si>
  <si>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</si>
  <si>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</si>
  <si>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</si>
  <si>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</si>
  <si>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</si>
  <si>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</si>
  <si>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</si>
  <si>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</si>
  <si>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</si>
  <si>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</si>
  <si>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</si>
  <si>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</si>
  <si>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</si>
  <si>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</si>
  <si>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</si>
  <si>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</si>
  <si>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</si>
  <si>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</si>
  <si>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</si>
  <si>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</si>
  <si>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</si>
  <si>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</si>
  <si>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</si>
  <si>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</si>
  <si>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</si>
  <si>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</si>
  <si>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</si>
  <si>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</si>
  <si>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</si>
  <si>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</si>
  <si>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</si>
  <si>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</si>
  <si>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</si>
  <si>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</si>
  <si>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</si>
  <si>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</si>
  <si>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</si>
  <si>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</si>
  <si>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</si>
  <si>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</si>
  <si>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</si>
  <si>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</si>
  <si>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</si>
  <si>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</si>
  <si>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</si>
  <si>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</si>
  <si>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</si>
  <si>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</si>
  <si>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</si>
  <si>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</si>
  <si>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</si>
  <si>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</si>
  <si>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</si>
  <si>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</si>
  <si>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</si>
  <si>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</si>
  <si>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</si>
  <si>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</si>
  <si>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</si>
  <si>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</si>
  <si>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</si>
  <si>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</si>
  <si>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</si>
  <si>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</si>
  <si>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</si>
  <si>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</si>
  <si>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</si>
  <si>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</si>
  <si>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</si>
  <si>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</si>
  <si>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</si>
  <si>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</si>
  <si>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</si>
  <si>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</si>
  <si>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</si>
  <si>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</si>
  <si>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</si>
  <si>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</si>
  <si>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</si>
  <si>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</si>
  <si>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</si>
  <si>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</si>
  <si>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</si>
  <si>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</si>
  <si>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</si>
  <si>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</si>
  <si>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</si>
  <si>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</si>
  <si>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</si>
  <si>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</si>
  <si>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</si>
  <si>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</si>
  <si>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</si>
  <si>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</si>
  <si>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</si>
  <si>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</si>
  <si>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</si>
  <si>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</si>
  <si>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</si>
  <si>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</si>
  <si>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</si>
  <si>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</si>
  <si>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</si>
  <si>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</si>
  <si>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</si>
  <si>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</si>
  <si>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</si>
  <si>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</si>
  <si>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</si>
  <si>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</si>
  <si>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</si>
  <si>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</si>
  <si>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</si>
  <si>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</si>
  <si>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</si>
  <si>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</si>
  <si>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</si>
  <si>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</si>
  <si>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</si>
  <si>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</si>
  <si>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</si>
  <si>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</si>
  <si>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</si>
  <si>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</si>
  <si>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</si>
  <si>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</si>
  <si>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</si>
  <si>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</si>
  <si>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</si>
  <si>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</si>
  <si>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</si>
  <si>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</si>
  <si>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</si>
  <si>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</si>
  <si>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</si>
  <si>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</si>
  <si>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</si>
  <si>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</si>
  <si>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</si>
  <si>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</si>
  <si>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</si>
  <si>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</si>
  <si>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</si>
  <si>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</si>
  <si>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</si>
  <si>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</si>
  <si>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</si>
  <si>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</si>
  <si>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</si>
  <si>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</si>
  <si>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</si>
  <si>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</si>
  <si>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</si>
  <si>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</si>
  <si>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</si>
  <si>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</si>
  <si>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</si>
  <si>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</si>
  <si>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</si>
  <si>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</si>
  <si>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</si>
  <si>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</si>
  <si>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</si>
  <si>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</si>
  <si>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</si>
  <si>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</si>
  <si>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</si>
  <si>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</si>
  <si>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</si>
  <si>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</si>
  <si>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</si>
  <si>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</si>
  <si>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</si>
  <si>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</si>
  <si>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</si>
  <si>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</si>
  <si>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</si>
  <si>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</si>
  <si>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</si>
  <si>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</si>
  <si>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</si>
  <si>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</si>
  <si>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</si>
  <si>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</si>
  <si>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</si>
  <si>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</si>
  <si>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</si>
  <si>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</si>
  <si>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</si>
  <si>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</si>
  <si>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</si>
  <si>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</si>
  <si>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</si>
  <si>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</si>
  <si>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</si>
  <si>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</si>
  <si>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</si>
  <si>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</si>
  <si>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</si>
  <si>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</si>
  <si>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</si>
  <si>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</si>
  <si>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</si>
  <si>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</si>
  <si>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</si>
  <si>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</si>
  <si>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</si>
  <si>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</si>
  <si>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</si>
  <si>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</si>
  <si>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</si>
  <si>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</si>
  <si>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</si>
  <si>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</si>
  <si>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</si>
  <si>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</si>
  <si>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</si>
  <si>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</si>
  <si>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</si>
  <si>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</si>
  <si>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</si>
  <si>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</si>
  <si>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</si>
  <si>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</si>
  <si>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</si>
  <si>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</si>
  <si>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</si>
  <si>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</si>
  <si>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</si>
  <si>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</si>
  <si>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</si>
  <si>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</si>
  <si>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</si>
  <si>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Insurance Coverage</t>
  </si>
  <si>
    <t>Insurance Coverage Amount</t>
  </si>
  <si>
    <t>Patient Responsibilities Amount</t>
  </si>
  <si>
    <t>Average Length Of Stay</t>
  </si>
  <si>
    <t>Paid Amount</t>
  </si>
  <si>
    <t>Age Category</t>
  </si>
  <si>
    <t>No Of Patients</t>
  </si>
  <si>
    <t xml:space="preserve"> Total Bill Amt</t>
  </si>
  <si>
    <t>Total Paid Amt</t>
  </si>
  <si>
    <t>Average of  Length Of Stay</t>
  </si>
  <si>
    <t>Average of Insurance Coverage(%)</t>
  </si>
  <si>
    <t>Departments</t>
  </si>
  <si>
    <t xml:space="preserve"> 66&amp;Above</t>
  </si>
  <si>
    <t>Btw 36&amp;50</t>
  </si>
  <si>
    <t>Btw 51&amp;65</t>
  </si>
  <si>
    <t>Btw 18&amp;35</t>
  </si>
  <si>
    <t>Age Group</t>
  </si>
  <si>
    <t>Perc. of Amt</t>
  </si>
  <si>
    <t>perc.</t>
  </si>
  <si>
    <t>2024</t>
  </si>
  <si>
    <t>2025</t>
  </si>
  <si>
    <t>Count of Patient ID</t>
  </si>
  <si>
    <t>Qtr1</t>
  </si>
  <si>
    <t>Jan</t>
  </si>
  <si>
    <t>Feb</t>
  </si>
  <si>
    <t>Mar</t>
  </si>
  <si>
    <t>Qtr2</t>
  </si>
  <si>
    <t>Apr</t>
  </si>
  <si>
    <t>May</t>
  </si>
  <si>
    <t>Jun</t>
  </si>
  <si>
    <t>Qtr3</t>
  </si>
  <si>
    <t>Jul</t>
  </si>
  <si>
    <t>Aug</t>
  </si>
  <si>
    <t>Sep</t>
  </si>
  <si>
    <t>Qtr4</t>
  </si>
  <si>
    <t>Oct</t>
  </si>
  <si>
    <t>Nov</t>
  </si>
  <si>
    <t>Dec</t>
  </si>
  <si>
    <t>No. of Patients</t>
  </si>
  <si>
    <t>SECURE LIFE GENERAL HOSPITAL DASHBOARD</t>
  </si>
  <si>
    <t>Under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</si>
</sst>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mm/dd/yyyy"/>
    <numFmt numFmtId="165" formatCode="&quot;$&quot;#,##0.00"/>
    <numFmt numFmtId="166" formatCode="_(* #,##0_);_(* \(#,##0\);_(* &quot;-&quot;??_);_(@_)"/>
    <numFmt numFmtId="167" formatCode="0.0"/>
    <numFmt numFmtId="168" formatCode="&quot;$&quot;#,##0"/>
  </numFmts>
  <fonts count="5">
    <font>
      <sz val="11"/>
      <color theme="1"/>
      <name val="Aptos Narrow"/>
      <family val="2"/>
      <scheme val="minor"/>
    </font>
    <font>
      <b/>
      <sz val="11"/>
      <color rgb="FFFFFFFF"/>
      <name val="Aptos Narrow"/>
      <family val="2"/>
      <scheme val="minor"/>
    </font>
    <font>
      <sz val="11"/>
      <color theme="1"/>
      <name val="Aptos Narrow"/>
      <family val="2"/>
      <scheme val="minor"/>
    </font>
    <font>
      <sz val="24"/>
      <color theme="0"/>
      <name val="Aptos Narrow"/>
      <scheme val="minor"/>
    </font>
    <font>
      <b/>
      <sz val="9"/>
      <color theme="1"/>
      <name val="Aptos Narrow"/>
      <scheme val="minor"/>
    </font>
  </fonts>
  <fills count="6">
    <fill>
      <patternFill patternType="none"/>
    </fill>
    <fill>
      <patternFill patternType="gray125"/>
    </fill>
    <fill>
      <patternFill patternType="solid">
        <fgColor rgb="FF4472C4"/>
        <bgColor indexed="64"/>
      </patternFill>
    </fill>
    <fill>
      <patternFill patternType="solid">
        <fgColor theme="3" tint="0.499984740745262"/>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1">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9" fontId="0" fillId="0" borderId="0" xfId="1" applyFont="1"/>
    <xf numFmtId="9" fontId="0" fillId="3" borderId="0" xfId="1" applyFont="1" applyFill="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9" fontId="0" fillId="0" borderId="0" xfId="0" applyNumberFormat="1"/>
    <xf numFmtId="0" fontId="0" fillId="4" borderId="0" xfId="0" applyFill="1"/>
    <xf numFmtId="0" fontId="0" fillId="5" borderId="0" xfId="0" applyFill="1"/>
    <xf numFmtId="166" fontId="0" fillId="0" borderId="0" xfId="2" applyNumberFormat="1" applyFont="1"/>
    <xf numFmtId="168" fontId="0" fillId="0" borderId="0" xfId="0" applyNumberFormat="1"/>
    <xf numFmtId="0" fontId="0" fillId="0" borderId="0" xfId="0" applyAlignment="1">
      <alignment horizontal="left" indent="1"/>
    </xf>
    <xf numFmtId="164" fontId="0" fillId="0" borderId="0" xfId="0" applyNumberFormat="1" applyAlignment="1">
      <alignment horizontal="left" indent="2"/>
    </xf>
    <xf numFmtId="0" fontId="3" fillId="5" borderId="0" xfId="0" applyFont="1" applyFill="1" applyAlignment="1">
      <alignment horizontal="center"/>
    </xf>
    <xf numFmtId="0" fontId="0" fillId="5" borderId="0" xfId="0" applyFill="1" applyAlignment="1">
      <alignment horizontal="center"/>
    </xf>
    <xf numFmtId="0" fontId="4" fillId="4" borderId="0" xfId="0" applyFont="1" applyFill="1"/>
  </cellXfs>
  <cellStyles count="3">
    <cellStyle name="Comma" xfId="2" builtinId="3"/>
    <cellStyle name="Normal" xfId="0" builtinId="0"/>
    <cellStyle name="Percent" xfId="1" builtinId="5"/>
  </cellStyles>
  <dxfs count="10">
    <dxf>
      <numFmt numFmtId="13" formatCode="0%"/>
    </dxf>
    <dxf>
      <numFmt numFmtId="13" formatCode="0%"/>
    </dxf>
    <dxf>
      <numFmt numFmtId="13" formatCode="0%"/>
    </dxf>
    <dxf>
      <numFmt numFmtId="165" formatCode="&quot;$&quot;#,##0.00"/>
    </dxf>
    <dxf>
      <numFmt numFmtId="13" formatCode="0%"/>
    </dxf>
    <dxf>
      <numFmt numFmtId="13" formatCode="0%"/>
    </dxf>
    <dxf>
      <numFmt numFmtId="166" formatCode="_(* #,##0_);_(* \(#,##0\);_(* &quot;-&quot;??_);_(@_)"/>
    </dxf>
    <dxf>
      <numFmt numFmtId="165" formatCode="&quot;$&quot;#,##0.00"/>
    </dxf>
    <dxf>
      <numFmt numFmtId="167"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1.xlsx]Default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ADMISSION TREND OVER TIME</a:t>
            </a:r>
          </a:p>
        </c:rich>
      </c:tx>
      <c:layout>
        <c:manualLayout>
          <c:xMode val="edge"/>
          <c:yMode val="edge"/>
          <c:x val="0.317685312440848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993670467129"/>
          <c:y val="9.338820045865881E-2"/>
          <c:w val="0.89019685039370078"/>
          <c:h val="0.65853091280256637"/>
        </c:manualLayout>
      </c:layout>
      <c:lineChart>
        <c:grouping val="standard"/>
        <c:varyColors val="0"/>
        <c:ser>
          <c:idx val="0"/>
          <c:order val="0"/>
          <c:tx>
            <c:strRef>
              <c:f>'Default Table'!$H$15</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'Default Table'!$G$16:$G$49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'Default Table'!$H$16:$H$49</c:f>
              <c:numCache>
                <c:formatCode>General</c:formatCode>
                <c:ptCount val="24"/>
                <c:pt idx="0">
                  <c:v>34</c:v>
                </c:pt>
                <c:pt idx="1">
                  <c:v>35</c:v>
                </c:pt>
                <c:pt idx="2">
                  <c:v>39</c:v>
                </c:pt>
                <c:pt idx="3">
                  <c:v>44</c:v>
                </c:pt>
                <c:pt idx="4">
                  <c:v>39</c:v>
                </c:pt>
                <c:pt idx="5">
                  <c:v>40</c:v>
                </c:pt>
                <c:pt idx="6">
                  <c:v>51</c:v>
                </c:pt>
                <c:pt idx="7">
                  <c:v>46</c:v>
                </c:pt>
                <c:pt idx="8">
                  <c:v>44</c:v>
                </c:pt>
                <c:pt idx="9">
                  <c:v>45</c:v>
                </c:pt>
                <c:pt idx="10">
                  <c:v>43</c:v>
                </c:pt>
                <c:pt idx="11">
                  <c:v>48</c:v>
                </c:pt>
                <c:pt idx="12">
                  <c:v>51</c:v>
                </c:pt>
                <c:pt idx="13">
                  <c:v>31</c:v>
                </c:pt>
                <c:pt idx="14">
                  <c:v>42</c:v>
                </c:pt>
                <c:pt idx="15">
                  <c:v>50</c:v>
                </c:pt>
                <c:pt idx="16">
                  <c:v>38</c:v>
                </c:pt>
                <c:pt idx="17">
                  <c:v>29</c:v>
                </c:pt>
                <c:pt idx="18">
                  <c:v>45</c:v>
                </c:pt>
                <c:pt idx="19">
                  <c:v>29</c:v>
                </c:pt>
                <c:pt idx="20">
                  <c:v>44</c:v>
                </c:pt>
                <c:pt idx="21">
                  <c:v>39</c:v>
                </c:pt>
                <c:pt idx="22">
                  <c:v>57</c:v>
                </c:pt>
                <c:pt idx="23">
                  <c:v>37</c:v>
                </c:pt>
              </c:numCache>
            </c:numRef>
          </c:val>
          <c:smooth val="0"/>
          <c:extLst>
            <c:ext xmlns:c16="http://schemas.microsoft.com/office/drawing/2014/chart" uri="{C3380CC4-5D6E-409C-BE32-E72D297353CC}">
              <c16:uniqueId val="{00000004-8803-453C-91EC-460492E99FF6}"/>
            </c:ext>
          </c:extLst>
        </c:ser>
        <c:dLbls>
          <c:dLblPos val="t"/>
          <c:showLegendKey val="0"/>
          <c:showVal val="1"/>
          <c:showCatName val="0"/>
          <c:showSerName val="0"/>
          <c:showPercent val="0"/>
          <c:showBubbleSize val="0"/>
        </c:dLbls>
        <c:marker val="1"/>
        <c:smooth val="0"/>
        <c:axId val="634308159"/>
        <c:axId val="634302751"/>
      </c:lineChart>
      <c:catAx>
        <c:axId val="634308159"/>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050" b="1">
                    <a:solidFill>
                      <a:schemeClr val="tx1"/>
                    </a:solidFill>
                  </a:rPr>
                  <a:t>Time</a:t>
                </a:r>
              </a:p>
            </c:rich>
          </c:tx>
          <c:layout>
            <c:manualLayout>
              <c:xMode val="edge"/>
              <c:yMode val="edge"/>
              <c:x val="0.50585932925105304"/>
              <c:y val="0.9160143146112786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34302751"/>
        <c:crosses val="autoZero"/>
        <c:auto val="1"/>
        <c:lblAlgn val="ctr"/>
        <c:lblOffset val="100"/>
        <c:noMultiLvlLbl val="0"/>
      </c:catAx>
      <c:valAx>
        <c:axId val="634302751"/>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US" sz="1050" b="1">
                    <a:solidFill>
                      <a:schemeClr val="tx1"/>
                    </a:solidFill>
                  </a:rPr>
                  <a:t>NO. of</a:t>
                </a:r>
                <a:r>
                  <a:rPr lang="en-US" sz="1050" b="1" baseline="0">
                    <a:solidFill>
                      <a:schemeClr val="tx1"/>
                    </a:solidFill>
                  </a:rPr>
                  <a:t> Patients</a:t>
                </a:r>
                <a:endParaRPr lang="en-US" sz="1050" b="1">
                  <a:solidFill>
                    <a:schemeClr val="tx1"/>
                  </a:solidFill>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34308159"/>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1.xlsx]Default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PATIENTS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solidFill>
          <a:ln>
            <a:noFill/>
          </a:ln>
          <a:effectLst/>
        </c:spPr>
        <c:dLbl>
          <c:idx val="0"/>
          <c:layout>
            <c:manualLayout>
              <c:x val="0.2962149238512145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1"/>
          </a:solidFill>
          <a:ln>
            <a:noFill/>
          </a:ln>
          <a:effectLst/>
        </c:spPr>
        <c:dLbl>
          <c:idx val="0"/>
          <c:layout>
            <c:manualLayout>
              <c:x val="0.32541921211823566"/>
              <c:y val="-4.0476025049739955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1"/>
          </a:solidFill>
          <a:ln>
            <a:noFill/>
          </a:ln>
          <a:effectLst/>
        </c:spPr>
        <c:dLbl>
          <c:idx val="0"/>
          <c:layout>
            <c:manualLayout>
              <c:x val="0.26492461499369185"/>
              <c:y val="-4.41561737806203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solidFill>
          <a:ln>
            <a:noFill/>
          </a:ln>
          <a:effectLst/>
        </c:spPr>
        <c:dLbl>
          <c:idx val="0"/>
          <c:layout>
            <c:manualLayout>
              <c:x val="0.40677401514779471"/>
              <c:y val="-4.41561737806203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1"/>
          </a:solidFill>
          <a:ln>
            <a:noFill/>
          </a:ln>
          <a:effectLst/>
        </c:spPr>
        <c:dLbl>
          <c:idx val="0"/>
          <c:layout>
            <c:manualLayout>
              <c:x val="0.3796557474712749"/>
              <c:y val="-4.415617378062111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1"/>
          </a:solidFill>
          <a:ln>
            <a:noFill/>
          </a:ln>
          <a:effectLst/>
        </c:spPr>
        <c:dLbl>
          <c:idx val="0"/>
          <c:layout>
            <c:manualLayout>
              <c:x val="0.31916115034673109"/>
              <c:y val="-1.6190410019895982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33766535230346"/>
          <c:y val="0.14305069848761348"/>
          <c:w val="0.78881945751802107"/>
          <c:h val="0.65900838241297388"/>
        </c:manualLayout>
      </c:layout>
      <c:barChart>
        <c:barDir val="bar"/>
        <c:grouping val="stacked"/>
        <c:varyColors val="0"/>
        <c:ser>
          <c:idx val="0"/>
          <c:order val="0"/>
          <c:tx>
            <c:strRef>
              <c:f>'Default Table'!$B$7</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97B7-49A0-B389-1B5F47FBCF8A}"/>
              </c:ext>
            </c:extLst>
          </c:dPt>
          <c:dPt>
            <c:idx val="1"/>
            <c:invertIfNegative val="0"/>
            <c:bubble3D val="0"/>
            <c:spPr>
              <a:solidFill>
                <a:schemeClr val="tx1"/>
              </a:solidFill>
              <a:ln>
                <a:noFill/>
              </a:ln>
              <a:effectLst/>
            </c:spPr>
            <c:extLst>
              <c:ext xmlns:c16="http://schemas.microsoft.com/office/drawing/2014/chart" uri="{C3380CC4-5D6E-409C-BE32-E72D297353CC}">
                <c16:uniqueId val="{00000003-97B7-49A0-B389-1B5F47FBCF8A}"/>
              </c:ext>
            </c:extLst>
          </c:dPt>
          <c:dPt>
            <c:idx val="2"/>
            <c:invertIfNegative val="0"/>
            <c:bubble3D val="0"/>
            <c:spPr>
              <a:solidFill>
                <a:schemeClr val="tx1"/>
              </a:solidFill>
              <a:ln>
                <a:noFill/>
              </a:ln>
              <a:effectLst/>
            </c:spPr>
            <c:extLst>
              <c:ext xmlns:c16="http://schemas.microsoft.com/office/drawing/2014/chart" uri="{C3380CC4-5D6E-409C-BE32-E72D297353CC}">
                <c16:uniqueId val="{00000005-97B7-49A0-B389-1B5F47FBCF8A}"/>
              </c:ext>
            </c:extLst>
          </c:dPt>
          <c:dPt>
            <c:idx val="3"/>
            <c:invertIfNegative val="0"/>
            <c:bubble3D val="0"/>
            <c:spPr>
              <a:solidFill>
                <a:schemeClr val="tx1"/>
              </a:solidFill>
              <a:ln>
                <a:noFill/>
              </a:ln>
              <a:effectLst/>
            </c:spPr>
            <c:extLst>
              <c:ext xmlns:c16="http://schemas.microsoft.com/office/drawing/2014/chart" uri="{C3380CC4-5D6E-409C-BE32-E72D297353CC}">
                <c16:uniqueId val="{00000007-97B7-49A0-B389-1B5F47FBCF8A}"/>
              </c:ext>
            </c:extLst>
          </c:dPt>
          <c:dPt>
            <c:idx val="4"/>
            <c:invertIfNegative val="0"/>
            <c:bubble3D val="0"/>
            <c:spPr>
              <a:solidFill>
                <a:schemeClr val="tx1"/>
              </a:solidFill>
              <a:ln>
                <a:noFill/>
              </a:ln>
              <a:effectLst/>
            </c:spPr>
            <c:extLst>
              <c:ext xmlns:c16="http://schemas.microsoft.com/office/drawing/2014/chart" uri="{C3380CC4-5D6E-409C-BE32-E72D297353CC}">
                <c16:uniqueId val="{00000009-97B7-49A0-B389-1B5F47FBCF8A}"/>
              </c:ext>
            </c:extLst>
          </c:dPt>
          <c:dPt>
            <c:idx val="5"/>
            <c:invertIfNegative val="0"/>
            <c:bubble3D val="0"/>
            <c:spPr>
              <a:solidFill>
                <a:schemeClr val="tx1"/>
              </a:solidFill>
              <a:ln>
                <a:noFill/>
              </a:ln>
              <a:effectLst/>
            </c:spPr>
            <c:extLst>
              <c:ext xmlns:c16="http://schemas.microsoft.com/office/drawing/2014/chart" uri="{C3380CC4-5D6E-409C-BE32-E72D297353CC}">
                <c16:uniqueId val="{0000000B-97B7-49A0-B389-1B5F47FBCF8A}"/>
              </c:ext>
            </c:extLst>
          </c:dPt>
          <c:dLbls>
            <c:dLbl>
              <c:idx val="0"/>
              <c:layout>
                <c:manualLayout>
                  <c:x val="0.26492461499369185"/>
                  <c:y val="-4.415617378062030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B7-49A0-B389-1B5F47FBCF8A}"/>
                </c:ext>
              </c:extLst>
            </c:dLbl>
            <c:dLbl>
              <c:idx val="1"/>
              <c:layout>
                <c:manualLayout>
                  <c:x val="0.31916115034673109"/>
                  <c:y val="-1.6190410019895982E-1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B7-49A0-B389-1B5F47FBCF8A}"/>
                </c:ext>
              </c:extLst>
            </c:dLbl>
            <c:dLbl>
              <c:idx val="2"/>
              <c:layout>
                <c:manualLayout>
                  <c:x val="0.29621492385121451"/>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B7-49A0-B389-1B5F47FBCF8A}"/>
                </c:ext>
              </c:extLst>
            </c:dLbl>
            <c:dLbl>
              <c:idx val="3"/>
              <c:layout>
                <c:manualLayout>
                  <c:x val="0.32541921211823566"/>
                  <c:y val="-4.0476025049739955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B7-49A0-B389-1B5F47FBCF8A}"/>
                </c:ext>
              </c:extLst>
            </c:dLbl>
            <c:dLbl>
              <c:idx val="4"/>
              <c:layout>
                <c:manualLayout>
                  <c:x val="0.3796557474712749"/>
                  <c:y val="-4.415617378062111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B7-49A0-B389-1B5F47FBCF8A}"/>
                </c:ext>
              </c:extLst>
            </c:dLbl>
            <c:dLbl>
              <c:idx val="5"/>
              <c:layout>
                <c:manualLayout>
                  <c:x val="0.40677401514779471"/>
                  <c:y val="-4.415617378062030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B7-49A0-B389-1B5F47FBCF8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'Default Table'!$A$8:$A$13</c:f>
              <c:strCache>
                <c:ptCount val="6"/>
                <c:pt idx="0">
                  <c:v>Neurology</c:v>
                </c:pt>
                <c:pt idx="1">
                  <c:v>Cardiology</c:v>
                </c:pt>
                <c:pt idx="2">
                  <c:v>Pediatrics</c:v>
                </c:pt>
                <c:pt idx="3">
                  <c:v>Orthopedics</c:v>
                </c:pt>
                <c:pt idx="4">
                  <c:v>Emergency</c:v>
                </c:pt>
                <c:pt idx="5">
                  <c:v>General</c:v>
                </c:pt>
              </c:strCache>
            </c:strRef>
          </c:cat>
          <c:val>
            <c:numRef>
              <c:f>'Default Table'!$B$8:$B$13</c:f>
              <c:numCache>
                <c:formatCode>General</c:formatCode>
                <c:ptCount val="6"/>
                <c:pt idx="0">
                  <c:v>94</c:v>
                </c:pt>
                <c:pt idx="1">
                  <c:v>152</c:v>
                </c:pt>
                <c:pt idx="2">
                  <c:v>153</c:v>
                </c:pt>
                <c:pt idx="3">
                  <c:v>159</c:v>
                </c:pt>
                <c:pt idx="4">
                  <c:v>190</c:v>
                </c:pt>
                <c:pt idx="5">
                  <c:v>252</c:v>
                </c:pt>
              </c:numCache>
            </c:numRef>
          </c:val>
          <c:extLst>
            <c:ext xmlns:c16="http://schemas.microsoft.com/office/drawing/2014/chart" uri="{C3380CC4-5D6E-409C-BE32-E72D297353CC}">
              <c16:uniqueId val="{00000010-00FC-49E5-AC87-DF53394F816A}"/>
            </c:ext>
          </c:extLst>
        </c:ser>
        <c:dLbls>
          <c:showLegendKey val="0"/>
          <c:showVal val="0"/>
          <c:showCatName val="0"/>
          <c:showSerName val="0"/>
          <c:showPercent val="0"/>
          <c:showBubbleSize val="0"/>
        </c:dLbls>
        <c:gapWidth val="150"/>
        <c:overlap val="100"/>
        <c:axId val="693525519"/>
        <c:axId val="692652767"/>
      </c:barChart>
      <c:catAx>
        <c:axId val="693525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DEPARTMENT</a:t>
                </a:r>
              </a:p>
            </c:rich>
          </c:tx>
          <c:layout>
            <c:manualLayout>
              <c:xMode val="edge"/>
              <c:yMode val="edge"/>
              <c:x val="2.0860205905015104E-2"/>
              <c:y val="0.344639979416964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92652767"/>
        <c:crosses val="autoZero"/>
        <c:auto val="1"/>
        <c:lblAlgn val="ctr"/>
        <c:lblOffset val="100"/>
        <c:noMultiLvlLbl val="0"/>
      </c:catAx>
      <c:valAx>
        <c:axId val="692652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NO. of Patients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1.xlsx]Default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of Patients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tx1"/>
          </a:solidFill>
          <a:ln>
            <a:noFill/>
          </a:ln>
          <a:effectLst/>
        </c:spPr>
        <c:dLbl>
          <c:idx val="0"/>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dLbl>
          <c:idx val="0"/>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'Default Table'!$E$7</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11-24AA-4A6A-9489-9FB55605197E}"/>
              </c:ext>
            </c:extLst>
          </c:dPt>
          <c:dPt>
            <c:idx val="1"/>
            <c:invertIfNegative val="0"/>
            <c:bubble3D val="0"/>
            <c:spPr>
              <a:solidFill>
                <a:schemeClr val="tx1"/>
              </a:solidFill>
              <a:ln>
                <a:noFill/>
              </a:ln>
              <a:effectLst/>
            </c:spPr>
            <c:extLst>
              <c:ext xmlns:c16="http://schemas.microsoft.com/office/drawing/2014/chart" uri="{C3380CC4-5D6E-409C-BE32-E72D297353CC}">
                <c16:uniqueId val="{00000013-24AA-4A6A-9489-9FB55605197E}"/>
              </c:ext>
            </c:extLst>
          </c:dPt>
          <c:dPt>
            <c:idx val="2"/>
            <c:invertIfNegative val="0"/>
            <c:bubble3D val="0"/>
            <c:spPr>
              <a:solidFill>
                <a:schemeClr val="tx1"/>
              </a:solidFill>
              <a:ln>
                <a:noFill/>
              </a:ln>
              <a:effectLst/>
            </c:spPr>
            <c:extLst>
              <c:ext xmlns:c16="http://schemas.microsoft.com/office/drawing/2014/chart" uri="{C3380CC4-5D6E-409C-BE32-E72D297353CC}">
                <c16:uniqueId val="{00000015-24AA-4A6A-9489-9FB55605197E}"/>
              </c:ext>
            </c:extLst>
          </c:dPt>
          <c:dPt>
            <c:idx val="3"/>
            <c:invertIfNegative val="0"/>
            <c:bubble3D val="0"/>
            <c:spPr>
              <a:solidFill>
                <a:schemeClr val="tx1"/>
              </a:solidFill>
              <a:ln>
                <a:noFill/>
              </a:ln>
              <a:effectLst/>
            </c:spPr>
            <c:extLst>
              <c:ext xmlns:c16="http://schemas.microsoft.com/office/drawing/2014/chart" uri="{C3380CC4-5D6E-409C-BE32-E72D297353CC}">
                <c16:uniqueId val="{00000017-24AA-4A6A-9489-9FB55605197E}"/>
              </c:ext>
            </c:extLst>
          </c:dPt>
          <c:dPt>
            <c:idx val="4"/>
            <c:invertIfNegative val="0"/>
            <c:bubble3D val="0"/>
            <c:spPr>
              <a:solidFill>
                <a:schemeClr val="tx1"/>
              </a:solidFill>
              <a:ln>
                <a:noFill/>
              </a:ln>
              <a:effectLst/>
            </c:spPr>
            <c:extLst>
              <c:ext xmlns:c16="http://schemas.microsoft.com/office/drawing/2014/chart" uri="{C3380CC4-5D6E-409C-BE32-E72D297353CC}">
                <c16:uniqueId val="{00000019-24AA-4A6A-9489-9FB55605197E}"/>
              </c:ext>
            </c:extLst>
          </c:dPt>
          <c:dLbls>
            <c:dLbl>
              <c:idx val="0"/>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4AA-4A6A-9489-9FB55605197E}"/>
                </c:ext>
              </c:extLst>
            </c:dLbl>
            <c:dLbl>
              <c:idx val="1"/>
              <c:spPr>
                <a:noFill/>
                <a:ln>
                  <a:noFill/>
                </a:ln>
                <a:effectLst/>
              </c:spPr>
              <c:txPr>
                <a:bodyPr wrap="square" lIns="38100" tIns="19050" rIns="38100" bIns="19050" anchor="ctr">
                  <a:spAutoFit/>
                </a:bodyPr>
                <a:lstStyle/>
                <a:p>
                  <a:pPr>
                    <a:defRPr sz="1100"/>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4AA-4A6A-9489-9FB55605197E}"/>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4AA-4A6A-9489-9FB55605197E}"/>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4AA-4A6A-9489-9FB55605197E}"/>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4AA-4A6A-9489-9FB55605197E}"/>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'Default Table'!$D$8:$D$12</c:f>
              <c:strCache>
                <c:ptCount val="5"/>
                <c:pt idx="0">
                  <c:v>Under 18</c:v>
                </c:pt>
                <c:pt idx="1">
                  <c:v>Btw 18&amp;35</c:v>
                </c:pt>
                <c:pt idx="2">
                  <c:v>Btw 36&amp;50</c:v>
                </c:pt>
                <c:pt idx="3">
                  <c:v> 66&amp;Above</c:v>
                </c:pt>
                <c:pt idx="4">
                  <c:v>Btw 51&amp;65</c:v>
                </c:pt>
              </c:strCache>
            </c:strRef>
          </c:cat>
          <c:val>
            <c:numRef>
              <c:f>'Default Table'!$E$8:$E$12</c:f>
              <c:numCache>
                <c:formatCode>General</c:formatCode>
                <c:ptCount val="5"/>
                <c:pt idx="0">
                  <c:v>153</c:v>
                </c:pt>
                <c:pt idx="1">
                  <c:v>170</c:v>
                </c:pt>
                <c:pt idx="2">
                  <c:v>210</c:v>
                </c:pt>
                <c:pt idx="3">
                  <c:v>232</c:v>
                </c:pt>
                <c:pt idx="4">
                  <c:v>235</c:v>
                </c:pt>
              </c:numCache>
            </c:numRef>
          </c:val>
          <c:extLst>
            <c:ext xmlns:c16="http://schemas.microsoft.com/office/drawing/2014/chart" uri="{C3380CC4-5D6E-409C-BE32-E72D297353CC}">
              <c16:uniqueId val="{0000001A-24AA-4A6A-9489-9FB55605197E}"/>
            </c:ext>
          </c:extLst>
        </c:ser>
        <c:dLbls>
          <c:showLegendKey val="0"/>
          <c:showVal val="0"/>
          <c:showCatName val="0"/>
          <c:showSerName val="0"/>
          <c:showPercent val="0"/>
          <c:showBubbleSize val="0"/>
        </c:dLbls>
        <c:gapWidth val="219"/>
        <c:overlap val="-27"/>
        <c:axId val="693743439"/>
        <c:axId val="693743855"/>
      </c:barChart>
      <c:catAx>
        <c:axId val="69374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Group</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43855"/>
        <c:crosses val="autoZero"/>
        <c:auto val="1"/>
        <c:lblAlgn val="ctr"/>
        <c:lblOffset val="100"/>
        <c:noMultiLvlLbl val="0"/>
      </c:catAx>
      <c:valAx>
        <c:axId val="69374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Patients</a:t>
                </a:r>
                <a:endParaRPr lang="en-US" b="1">
                  <a:solidFill>
                    <a:schemeClr val="tx1"/>
                  </a:solidFill>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434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1.xlsx]Default Table!PivotTable9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Patients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'Default Table'!$B$16</c:f>
              <c:strCache>
                <c:ptCount val="1"/>
                <c:pt idx="0">
                  <c:v>Total</c:v>
                </c:pt>
              </c:strCache>
            </c:strRef>
          </c:tx>
          <c:spPr>
            <a:solidFill>
              <a:schemeClr val="accent1"/>
            </a:solidFill>
            <a:ln>
              <a:noFill/>
            </a:ln>
            <a:effectLst/>
          </c:spPr>
          <c:invertIfNegative val="0"/>
          <c:cat>
            <c:strRef>
              <c:f>'Default Table'!$A$17:$A$18</c:f>
              <c:strCache>
                <c:ptCount val="2"/>
                <c:pt idx="0">
                  <c:v>Female</c:v>
                </c:pt>
                <c:pt idx="1">
                  <c:v>Male</c:v>
                </c:pt>
              </c:strCache>
            </c:strRef>
          </c:cat>
          <c:val>
            <c:numRef>
              <c:f>'Default Table'!$B$17:$B$18</c:f>
              <c:numCache>
                <c:formatCode>0%</c:formatCode>
                <c:ptCount val="2"/>
                <c:pt idx="0">
                  <c:v>0.51200000000000001</c:v>
                </c:pt>
                <c:pt idx="1">
                  <c:v>0.48799999999999999</c:v>
                </c:pt>
              </c:numCache>
            </c:numRef>
          </c:val>
          <c:extLst>
            <c:ext xmlns:c16="http://schemas.microsoft.com/office/drawing/2014/chart" uri="{C3380CC4-5D6E-409C-BE32-E72D297353CC}">
              <c16:uniqueId val="{00000004-AFC3-4836-A89B-0A30B00845DA}"/>
            </c:ext>
          </c:extLst>
        </c:ser>
        <c:dLbls>
          <c:showLegendKey val="0"/>
          <c:showVal val="0"/>
          <c:showCatName val="0"/>
          <c:showSerName val="0"/>
          <c:showPercent val="0"/>
          <c:showBubbleSize val="0"/>
        </c:dLbls>
        <c:gapWidth val="219"/>
        <c:overlap val="-27"/>
        <c:axId val="634308991"/>
        <c:axId val="634299007"/>
      </c:barChart>
      <c:catAx>
        <c:axId val="63430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4299007"/>
        <c:crosses val="autoZero"/>
        <c:auto val="1"/>
        <c:lblAlgn val="ctr"/>
        <c:lblOffset val="100"/>
        <c:noMultiLvlLbl val="0"/>
      </c:catAx>
      <c:valAx>
        <c:axId val="63429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Percentage</a:t>
                </a:r>
                <a:r>
                  <a:rPr lang="en-US" sz="1050" b="1" baseline="0">
                    <a:solidFill>
                      <a:schemeClr val="tx1"/>
                    </a:solidFill>
                  </a:rPr>
                  <a:t> (%)</a:t>
                </a:r>
                <a:endParaRPr lang="en-US" sz="105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430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1.xlsx]Default Table!PivotTable8</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PAYMENT</a:t>
            </a:r>
            <a:r>
              <a:rPr lang="en-US" b="1" baseline="0">
                <a:solidFill>
                  <a:schemeClr val="tx1"/>
                </a:solidFill>
              </a:rPr>
              <a:t> STATUS (%)</a:t>
            </a:r>
            <a:endParaRPr lang="en-US" b="1">
              <a:solidFill>
                <a:schemeClr val="tx1"/>
              </a:solidFill>
            </a:endParaRPr>
          </a:p>
        </c:rich>
      </c:tx>
      <c:layout>
        <c:manualLayout>
          <c:xMode val="edge"/>
          <c:yMode val="edge"/>
          <c:x val="0.2536111111111111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dLbl>
          <c:idx val="0"/>
          <c:layout>
            <c:manualLayout>
              <c:x val="9.0980392156862738E-2"/>
              <c:y val="0.1090909090909089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layout>
            <c:manualLayout>
              <c:x val="-9.4117647058823556E-2"/>
              <c:y val="4.848484848484848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9.098039215686278E-2"/>
              <c:y val="-0.1333333333333333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29130770418403"/>
          <c:y val="0.22009162491052253"/>
          <c:w val="0.38349581596418097"/>
          <c:h val="0.74084418993080414"/>
        </c:manualLayout>
      </c:layout>
      <c:doughnutChart>
        <c:varyColors val="1"/>
        <c:ser>
          <c:idx val="0"/>
          <c:order val="0"/>
          <c:tx>
            <c:strRef>
              <c:f>'Default Table'!$H$7</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FB7-4CD4-AD34-0F9F0610526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FB7-4CD4-AD34-0F9F06105263}"/>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5FB7-4CD4-AD34-0F9F06105263}"/>
              </c:ext>
            </c:extLst>
          </c:dPt>
          <c:dLbls>
            <c:dLbl>
              <c:idx val="0"/>
              <c:layout>
                <c:manualLayout>
                  <c:x val="9.0980392156862738E-2"/>
                  <c:y val="0.10909090909090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B7-4CD4-AD34-0F9F06105263}"/>
                </c:ext>
              </c:extLst>
            </c:dLbl>
            <c:dLbl>
              <c:idx val="1"/>
              <c:layout>
                <c:manualLayout>
                  <c:x val="-9.4117647058823556E-2"/>
                  <c:y val="4.8484848484848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B7-4CD4-AD34-0F9F06105263}"/>
                </c:ext>
              </c:extLst>
            </c:dLbl>
            <c:dLbl>
              <c:idx val="2"/>
              <c:layout>
                <c:manualLayout>
                  <c:x val="-9.098039215686278E-2"/>
                  <c:y val="-0.13333333333333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B7-4CD4-AD34-0F9F0610526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'Default Table'!$G$8:$G$10</c:f>
              <c:strCache>
                <c:ptCount val="3"/>
                <c:pt idx="0">
                  <c:v>Paid</c:v>
                </c:pt>
                <c:pt idx="1">
                  <c:v>Partially Paid</c:v>
                </c:pt>
                <c:pt idx="2">
                  <c:v>Pending</c:v>
                </c:pt>
              </c:strCache>
            </c:strRef>
          </c:cat>
          <c:val>
            <c:numRef>
              <c:f>'Default Table'!$H$8:$H$10</c:f>
              <c:numCache>
                <c:formatCode>0%</c:formatCode>
                <c:ptCount val="3"/>
                <c:pt idx="0">
                  <c:v>0.56729739809527069</c:v>
                </c:pt>
                <c:pt idx="1">
                  <c:v>0.1740723595009008</c:v>
                </c:pt>
                <c:pt idx="2">
                  <c:v>0.25863024240382854</c:v>
                </c:pt>
              </c:numCache>
            </c:numRef>
          </c:val>
          <c:extLst>
            <c:ext xmlns:c16="http://schemas.microsoft.com/office/drawing/2014/chart" uri="{C3380CC4-5D6E-409C-BE32-E72D297353CC}">
              <c16:uniqueId val="{0000000A-DC2E-40F9-B316-8470A17B1F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123812988518886"/>
          <c:y val="0.34974273377118181"/>
          <c:w val="0.27047615802310815"/>
          <c:h val="0.502477835431861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149593</xdr:colOff>
      <xdr:row>2</xdr:row>
      <xdr:rowOff>134328</xdr:rowOff>
    </xdr:from>
    <xdr:to>
      <xdr:col>2</xdr:col>
      <xdr:colOff>296131</xdr:colOff>
      <xdr:row>7</xdr:row>
      <xdr:rowOff>48846</xdr:rowOff>
    </xdr:to>
    <xdr:sp macro="" textlink="">
      <xdr:nvSpPr>
        <xdr:cNvPr id="2" name="Rectangle: Rounded Corners 1">
          <a:extLst>
            <a:ext uri="{FF2B5EF4-FFF2-40B4-BE49-F238E27FC236}">
              <a16:creationId xmlns:a16="http://schemas.microsoft.com/office/drawing/2014/main" id="{5900B9C2-3418-4B36-B790-BE905F7A3A2A}"/>
            </a:ext>
          </a:extLst>
        </xdr:cNvPr>
        <xdr:cNvSpPr/>
      </xdr:nvSpPr>
      <xdr:spPr>
        <a:xfrm>
          <a:off x="149593" y="503422"/>
          <a:ext cx="1527663" cy="807487"/>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394129</xdr:colOff>
      <xdr:row>2</xdr:row>
      <xdr:rowOff>139700</xdr:rowOff>
    </xdr:from>
    <xdr:to>
      <xdr:col>5</xdr:col>
      <xdr:colOff>406340</xdr:colOff>
      <xdr:row>7</xdr:row>
      <xdr:rowOff>73269</xdr:rowOff>
    </xdr:to>
    <xdr:sp macro="" textlink="">
      <xdr:nvSpPr>
        <xdr:cNvPr id="3" name="Rectangle: Rounded Corners 2">
          <a:extLst>
            <a:ext uri="{FF2B5EF4-FFF2-40B4-BE49-F238E27FC236}">
              <a16:creationId xmlns:a16="http://schemas.microsoft.com/office/drawing/2014/main" id="{D0FAD19E-7906-4190-BCD8-7020C1DA89AD}"/>
            </a:ext>
          </a:extLst>
        </xdr:cNvPr>
        <xdr:cNvSpPr/>
      </xdr:nvSpPr>
      <xdr:spPr>
        <a:xfrm>
          <a:off x="1775254" y="508794"/>
          <a:ext cx="2083899" cy="826538"/>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99220</xdr:colOff>
      <xdr:row>7</xdr:row>
      <xdr:rowOff>159055</xdr:rowOff>
    </xdr:from>
    <xdr:to>
      <xdr:col>2</xdr:col>
      <xdr:colOff>289720</xdr:colOff>
      <xdr:row>12</xdr:row>
      <xdr:rowOff>166688</xdr:rowOff>
    </xdr:to>
    <xdr:sp macro="" textlink="">
      <xdr:nvSpPr>
        <xdr:cNvPr id="4" name="Rectangle: Rounded Corners 3">
          <a:extLst>
            <a:ext uri="{FF2B5EF4-FFF2-40B4-BE49-F238E27FC236}">
              <a16:creationId xmlns:a16="http://schemas.microsoft.com/office/drawing/2014/main" id="{3707E27F-7DD4-4B25-837C-4B15EF8974BB}"/>
            </a:ext>
          </a:extLst>
        </xdr:cNvPr>
        <xdr:cNvSpPr/>
      </xdr:nvSpPr>
      <xdr:spPr>
        <a:xfrm>
          <a:off x="99220" y="1421118"/>
          <a:ext cx="1571625" cy="900601"/>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373309</xdr:colOff>
      <xdr:row>7</xdr:row>
      <xdr:rowOff>175051</xdr:rowOff>
    </xdr:from>
    <xdr:to>
      <xdr:col>5</xdr:col>
      <xdr:colOff>491515</xdr:colOff>
      <xdr:row>13</xdr:row>
      <xdr:rowOff>4274</xdr:rowOff>
    </xdr:to>
    <xdr:sp macro="" textlink="">
      <xdr:nvSpPr>
        <xdr:cNvPr id="5" name="Rectangle: Rounded Corners 4">
          <a:extLst>
            <a:ext uri="{FF2B5EF4-FFF2-40B4-BE49-F238E27FC236}">
              <a16:creationId xmlns:a16="http://schemas.microsoft.com/office/drawing/2014/main" id="{1C563627-0A25-47EF-8014-12AE6DFF1B54}"/>
            </a:ext>
          </a:extLst>
        </xdr:cNvPr>
        <xdr:cNvSpPr/>
      </xdr:nvSpPr>
      <xdr:spPr>
        <a:xfrm>
          <a:off x="1754434" y="1437114"/>
          <a:ext cx="2189894" cy="90078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71803</xdr:colOff>
      <xdr:row>13</xdr:row>
      <xdr:rowOff>86093</xdr:rowOff>
    </xdr:from>
    <xdr:to>
      <xdr:col>2</xdr:col>
      <xdr:colOff>262303</xdr:colOff>
      <xdr:row>20</xdr:row>
      <xdr:rowOff>26987</xdr:rowOff>
    </xdr:to>
    <xdr:sp macro="" textlink="">
      <xdr:nvSpPr>
        <xdr:cNvPr id="6" name="Rectangle: Rounded Corners 5">
          <a:extLst>
            <a:ext uri="{FF2B5EF4-FFF2-40B4-BE49-F238E27FC236}">
              <a16:creationId xmlns:a16="http://schemas.microsoft.com/office/drawing/2014/main" id="{F674C6EA-FF7F-4039-8FC4-DA1FBD999DF5}"/>
            </a:ext>
          </a:extLst>
        </xdr:cNvPr>
        <xdr:cNvSpPr/>
      </xdr:nvSpPr>
      <xdr:spPr>
        <a:xfrm>
          <a:off x="71803" y="2419718"/>
          <a:ext cx="1571625" cy="119105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196911</xdr:colOff>
      <xdr:row>2</xdr:row>
      <xdr:rowOff>127977</xdr:rowOff>
    </xdr:from>
    <xdr:to>
      <xdr:col>2</xdr:col>
      <xdr:colOff>387411</xdr:colOff>
      <xdr:row>5</xdr:row>
      <xdr:rowOff>0</xdr:rowOff>
    </xdr:to>
    <xdr:sp macro="" textlink="">
      <xdr:nvSpPr>
        <xdr:cNvPr id="7" name="TextBox 6">
          <a:extLst>
            <a:ext uri="{FF2B5EF4-FFF2-40B4-BE49-F238E27FC236}">
              <a16:creationId xmlns:a16="http://schemas.microsoft.com/office/drawing/2014/main" id="{0E10F1DA-CBBD-4C3B-9AD6-4B37AF817A48}"/>
            </a:ext>
          </a:extLst>
        </xdr:cNvPr>
        <xdr:cNvSpPr txBox="1"/>
      </xdr:nvSpPr>
      <xdr:spPr>
        <a:xfrm>
          <a:off x="196911" y="497071"/>
          <a:ext cx="1571625" cy="407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u="sng">
              <a:solidFill>
                <a:schemeClr val="bg1"/>
              </a:solidFill>
            </a:rPr>
            <a:t>No. Of Patients</a:t>
          </a:r>
        </a:p>
      </xdr:txBody>
    </xdr:sp>
    <xdr:clientData/>
  </xdr:twoCellAnchor>
  <xdr:twoCellAnchor>
    <xdr:from>
      <xdr:col>3</xdr:col>
      <xdr:colOff>240079</xdr:colOff>
      <xdr:row>2</xdr:row>
      <xdr:rowOff>155087</xdr:rowOff>
    </xdr:from>
    <xdr:to>
      <xdr:col>5</xdr:col>
      <xdr:colOff>344853</xdr:colOff>
      <xdr:row>5</xdr:row>
      <xdr:rowOff>21737</xdr:rowOff>
    </xdr:to>
    <xdr:sp macro="" textlink="">
      <xdr:nvSpPr>
        <xdr:cNvPr id="9" name="TextBox 8">
          <a:extLst>
            <a:ext uri="{FF2B5EF4-FFF2-40B4-BE49-F238E27FC236}">
              <a16:creationId xmlns:a16="http://schemas.microsoft.com/office/drawing/2014/main" id="{F9DDE8D4-B490-4378-8E71-C9C2BEBFFB61}"/>
            </a:ext>
          </a:extLst>
        </xdr:cNvPr>
        <xdr:cNvSpPr txBox="1"/>
      </xdr:nvSpPr>
      <xdr:spPr>
        <a:xfrm>
          <a:off x="2311767" y="524181"/>
          <a:ext cx="1485899" cy="402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u="sng">
              <a:solidFill>
                <a:schemeClr val="bg1"/>
              </a:solidFill>
            </a:rPr>
            <a:t>Total</a:t>
          </a:r>
          <a:r>
            <a:rPr lang="en-US" sz="1600" b="1" u="sng" baseline="0">
              <a:solidFill>
                <a:schemeClr val="bg1"/>
              </a:solidFill>
            </a:rPr>
            <a:t> Bill Amt.</a:t>
          </a:r>
          <a:endParaRPr lang="en-US" sz="1600" b="1" u="sng">
            <a:solidFill>
              <a:schemeClr val="bg1"/>
            </a:solidFill>
          </a:endParaRPr>
        </a:p>
      </xdr:txBody>
    </xdr:sp>
    <xdr:clientData/>
  </xdr:twoCellAnchor>
  <xdr:twoCellAnchor>
    <xdr:from>
      <xdr:col>0</xdr:col>
      <xdr:colOff>112345</xdr:colOff>
      <xdr:row>8</xdr:row>
      <xdr:rowOff>19293</xdr:rowOff>
    </xdr:from>
    <xdr:to>
      <xdr:col>2</xdr:col>
      <xdr:colOff>331420</xdr:colOff>
      <xdr:row>10</xdr:row>
      <xdr:rowOff>66918</xdr:rowOff>
    </xdr:to>
    <xdr:sp macro="" textlink="">
      <xdr:nvSpPr>
        <xdr:cNvPr id="10" name="TextBox 9">
          <a:extLst>
            <a:ext uri="{FF2B5EF4-FFF2-40B4-BE49-F238E27FC236}">
              <a16:creationId xmlns:a16="http://schemas.microsoft.com/office/drawing/2014/main" id="{338B2A70-B561-4270-8B9F-ADF85E03FC9B}"/>
            </a:ext>
          </a:extLst>
        </xdr:cNvPr>
        <xdr:cNvSpPr txBox="1"/>
      </xdr:nvSpPr>
      <xdr:spPr>
        <a:xfrm>
          <a:off x="112345" y="1459949"/>
          <a:ext cx="1600200"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rPr>
            <a:t>Avg.Stay</a:t>
          </a:r>
          <a:r>
            <a:rPr lang="en-US" sz="1600" b="1" u="sng" baseline="0">
              <a:solidFill>
                <a:schemeClr val="bg1"/>
              </a:solidFill>
            </a:rPr>
            <a:t> Length</a:t>
          </a:r>
          <a:endParaRPr lang="en-US" sz="1600" b="1" u="sng">
            <a:solidFill>
              <a:schemeClr val="bg1"/>
            </a:solidFill>
          </a:endParaRPr>
        </a:p>
      </xdr:txBody>
    </xdr:sp>
    <xdr:clientData/>
  </xdr:twoCellAnchor>
  <xdr:twoCellAnchor>
    <xdr:from>
      <xdr:col>3</xdr:col>
      <xdr:colOff>296985</xdr:colOff>
      <xdr:row>8</xdr:row>
      <xdr:rowOff>28819</xdr:rowOff>
    </xdr:from>
    <xdr:to>
      <xdr:col>5</xdr:col>
      <xdr:colOff>401759</xdr:colOff>
      <xdr:row>10</xdr:row>
      <xdr:rowOff>76444</xdr:rowOff>
    </xdr:to>
    <xdr:sp macro="" textlink="">
      <xdr:nvSpPr>
        <xdr:cNvPr id="11" name="TextBox 10">
          <a:extLst>
            <a:ext uri="{FF2B5EF4-FFF2-40B4-BE49-F238E27FC236}">
              <a16:creationId xmlns:a16="http://schemas.microsoft.com/office/drawing/2014/main" id="{65E4B3B4-8C6A-4201-B5D8-DC2E22D5DF40}"/>
            </a:ext>
          </a:extLst>
        </xdr:cNvPr>
        <xdr:cNvSpPr txBox="1"/>
      </xdr:nvSpPr>
      <xdr:spPr>
        <a:xfrm>
          <a:off x="2348523" y="1494204"/>
          <a:ext cx="1472467" cy="413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solidFill>
                <a:schemeClr val="bg1"/>
              </a:solidFill>
            </a:rPr>
            <a:t>Paid</a:t>
          </a:r>
          <a:r>
            <a:rPr lang="en-US" sz="1600" b="1" u="sng" baseline="0">
              <a:solidFill>
                <a:schemeClr val="bg1"/>
              </a:solidFill>
            </a:rPr>
            <a:t> Amount</a:t>
          </a:r>
          <a:endParaRPr lang="en-US" sz="1600" b="1" u="sng">
            <a:solidFill>
              <a:schemeClr val="bg1"/>
            </a:solidFill>
          </a:endParaRPr>
        </a:p>
      </xdr:txBody>
    </xdr:sp>
    <xdr:clientData/>
  </xdr:twoCellAnchor>
  <xdr:twoCellAnchor>
    <xdr:from>
      <xdr:col>0</xdr:col>
      <xdr:colOff>207962</xdr:colOff>
      <xdr:row>13</xdr:row>
      <xdr:rowOff>161559</xdr:rowOff>
    </xdr:from>
    <xdr:to>
      <xdr:col>2</xdr:col>
      <xdr:colOff>166194</xdr:colOff>
      <xdr:row>18</xdr:row>
      <xdr:rowOff>1527</xdr:rowOff>
    </xdr:to>
    <xdr:sp macro="" textlink="">
      <xdr:nvSpPr>
        <xdr:cNvPr id="12" name="TextBox 11">
          <a:extLst>
            <a:ext uri="{FF2B5EF4-FFF2-40B4-BE49-F238E27FC236}">
              <a16:creationId xmlns:a16="http://schemas.microsoft.com/office/drawing/2014/main" id="{36326A90-7A7C-4562-946B-AA0F94652A4D}"/>
            </a:ext>
          </a:extLst>
        </xdr:cNvPr>
        <xdr:cNvSpPr txBox="1"/>
      </xdr:nvSpPr>
      <xdr:spPr>
        <a:xfrm>
          <a:off x="207962" y="2495184"/>
          <a:ext cx="1339357" cy="73293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u="sng">
              <a:solidFill>
                <a:schemeClr val="bg1"/>
              </a:solidFill>
            </a:rPr>
            <a:t>Avg.</a:t>
          </a:r>
          <a:r>
            <a:rPr lang="en-US" sz="1600" b="1" u="sng" baseline="0">
              <a:solidFill>
                <a:schemeClr val="bg1"/>
              </a:solidFill>
            </a:rPr>
            <a:t> </a:t>
          </a:r>
        </a:p>
        <a:p>
          <a:r>
            <a:rPr lang="en-US" sz="1600" b="1" u="sng" baseline="0">
              <a:solidFill>
                <a:schemeClr val="bg1"/>
              </a:solidFill>
            </a:rPr>
            <a:t>Insurance (%)</a:t>
          </a:r>
        </a:p>
        <a:p>
          <a:endParaRPr lang="en-US" sz="1600" b="1">
            <a:solidFill>
              <a:schemeClr val="bg1"/>
            </a:solidFill>
          </a:endParaRPr>
        </a:p>
      </xdr:txBody>
    </xdr:sp>
    <xdr:clientData/>
  </xdr:twoCellAnchor>
  <xdr:twoCellAnchor>
    <xdr:from>
      <xdr:col>0</xdr:col>
      <xdr:colOff>500674</xdr:colOff>
      <xdr:row>3</xdr:row>
      <xdr:rowOff>146845</xdr:rowOff>
    </xdr:from>
    <xdr:to>
      <xdr:col>2</xdr:col>
      <xdr:colOff>464039</xdr:colOff>
      <xdr:row>7</xdr:row>
      <xdr:rowOff>61363</xdr:rowOff>
    </xdr:to>
    <xdr:sp macro="" textlink="'Default Table'!A5">
      <xdr:nvSpPr>
        <xdr:cNvPr id="13" name="TextBox 12">
          <a:extLst>
            <a:ext uri="{FF2B5EF4-FFF2-40B4-BE49-F238E27FC236}">
              <a16:creationId xmlns:a16="http://schemas.microsoft.com/office/drawing/2014/main" id="{27A9C0FD-8896-4146-A01C-01EEB116941B}"/>
            </a:ext>
          </a:extLst>
        </xdr:cNvPr>
        <xdr:cNvSpPr txBox="1"/>
      </xdr:nvSpPr>
      <xdr:spPr>
        <a:xfrm>
          <a:off x="500674" y="694533"/>
          <a:ext cx="1344490" cy="628893"/>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fld id="{5D7CD86A-D9CC-425A-A0E9-5566507B02C4}" type="TxLink">
            <a:rPr lang="en-US" sz="3200" b="0" i="0" u="none" strike="noStrike">
              <a:solidFill>
                <a:schemeClr val="bg1"/>
              </a:solidFill>
              <a:latin typeface="Aptos Narrow"/>
            </a:rPr>
            <a:pPr/>
            <a:t> 1,000 </a:t>
          </a:fld>
          <a:endParaRPr lang="en-US" sz="3200">
            <a:solidFill>
              <a:schemeClr val="bg1"/>
            </a:solidFill>
          </a:endParaRPr>
        </a:p>
      </xdr:txBody>
    </xdr:sp>
    <xdr:clientData/>
  </xdr:twoCellAnchor>
  <xdr:twoCellAnchor>
    <xdr:from>
      <xdr:col>2</xdr:col>
      <xdr:colOff>426547</xdr:colOff>
      <xdr:row>4</xdr:row>
      <xdr:rowOff>85115</xdr:rowOff>
    </xdr:from>
    <xdr:to>
      <xdr:col>6</xdr:col>
      <xdr:colOff>316643</xdr:colOff>
      <xdr:row>7</xdr:row>
      <xdr:rowOff>48481</xdr:rowOff>
    </xdr:to>
    <xdr:sp macro="" textlink="'Default Table'!C5">
      <xdr:nvSpPr>
        <xdr:cNvPr id="14" name="TextBox 13">
          <a:extLst>
            <a:ext uri="{FF2B5EF4-FFF2-40B4-BE49-F238E27FC236}">
              <a16:creationId xmlns:a16="http://schemas.microsoft.com/office/drawing/2014/main" id="{71F76F99-0A5C-4E62-81C3-5FB03C898ED2}"/>
            </a:ext>
          </a:extLst>
        </xdr:cNvPr>
        <xdr:cNvSpPr txBox="1"/>
      </xdr:nvSpPr>
      <xdr:spPr>
        <a:xfrm>
          <a:off x="1807672" y="811396"/>
          <a:ext cx="2652346" cy="499148"/>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fld id="{7E2E838D-652C-4936-BB7A-7D3AF2AD081B}" type="TxLink">
            <a:rPr lang="en-US" sz="3200" b="0" i="0" u="none" strike="noStrike">
              <a:solidFill>
                <a:schemeClr val="bg1"/>
              </a:solidFill>
              <a:latin typeface="Aptos Narrow"/>
            </a:rPr>
            <a:pPr/>
            <a:t>$8,053,143</a:t>
          </a:fld>
          <a:endParaRPr lang="en-US" sz="3200">
            <a:solidFill>
              <a:schemeClr val="bg1"/>
            </a:solidFill>
          </a:endParaRPr>
        </a:p>
      </xdr:txBody>
    </xdr:sp>
    <xdr:clientData/>
  </xdr:twoCellAnchor>
  <xdr:twoCellAnchor>
    <xdr:from>
      <xdr:col>0</xdr:col>
      <xdr:colOff>597144</xdr:colOff>
      <xdr:row>11</xdr:row>
      <xdr:rowOff>107218</xdr:rowOff>
    </xdr:from>
    <xdr:to>
      <xdr:col>2</xdr:col>
      <xdr:colOff>560509</xdr:colOff>
      <xdr:row>14</xdr:row>
      <xdr:rowOff>70584</xdr:rowOff>
    </xdr:to>
    <xdr:sp macro="" textlink="'Default Table'!G5">
      <xdr:nvSpPr>
        <xdr:cNvPr id="15" name="TextBox 14">
          <a:extLst>
            <a:ext uri="{FF2B5EF4-FFF2-40B4-BE49-F238E27FC236}">
              <a16:creationId xmlns:a16="http://schemas.microsoft.com/office/drawing/2014/main" id="{99CA5550-DCA0-4A75-84FE-99A89CBB22C5}"/>
            </a:ext>
          </a:extLst>
        </xdr:cNvPr>
        <xdr:cNvSpPr txBox="1"/>
      </xdr:nvSpPr>
      <xdr:spPr>
        <a:xfrm>
          <a:off x="597144" y="2122122"/>
          <a:ext cx="1331057" cy="512885"/>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6396C9A7-2C49-47A1-BC5F-B2DBAA549C43}" type="TxLink">
            <a:rPr lang="en-US" sz="1100" b="0" i="0" u="none" strike="noStrike">
              <a:solidFill>
                <a:srgbClr val="000000"/>
              </a:solidFill>
              <a:latin typeface="Aptos Narrow"/>
            </a:rPr>
            <a:pPr/>
            <a:t>4.8</a:t>
          </a:fld>
          <a:endParaRPr lang="en-US" sz="3200">
            <a:solidFill>
              <a:schemeClr val="bg1"/>
            </a:solidFill>
          </a:endParaRPr>
        </a:p>
      </xdr:txBody>
    </xdr:sp>
    <xdr:clientData/>
  </xdr:twoCellAnchor>
  <xdr:twoCellAnchor>
    <xdr:from>
      <xdr:col>1</xdr:col>
      <xdr:colOff>83098</xdr:colOff>
      <xdr:row>9</xdr:row>
      <xdr:rowOff>88655</xdr:rowOff>
    </xdr:from>
    <xdr:to>
      <xdr:col>3</xdr:col>
      <xdr:colOff>46463</xdr:colOff>
      <xdr:row>12</xdr:row>
      <xdr:rowOff>52021</xdr:rowOff>
    </xdr:to>
    <xdr:sp macro="" textlink="'Default Table'!G5">
      <xdr:nvSpPr>
        <xdr:cNvPr id="16" name="TextBox 15">
          <a:extLst>
            <a:ext uri="{FF2B5EF4-FFF2-40B4-BE49-F238E27FC236}">
              <a16:creationId xmlns:a16="http://schemas.microsoft.com/office/drawing/2014/main" id="{AF888F11-0EF8-41EF-83DC-F49EAF5E15A1}"/>
            </a:ext>
          </a:extLst>
        </xdr:cNvPr>
        <xdr:cNvSpPr txBox="1"/>
      </xdr:nvSpPr>
      <xdr:spPr>
        <a:xfrm>
          <a:off x="773661" y="1707905"/>
          <a:ext cx="1344490" cy="499147"/>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16B786B6-9DBC-4C6D-B30D-FDE459A4CDF1}" type="TxLink">
            <a:rPr lang="en-US" sz="3200" b="0" i="0" u="none" strike="noStrike">
              <a:solidFill>
                <a:schemeClr val="bg1"/>
              </a:solidFill>
              <a:latin typeface="Aptos Narrow"/>
            </a:rPr>
            <a:pPr/>
            <a:t>4.8</a:t>
          </a:fld>
          <a:endParaRPr lang="en-US" sz="3200">
            <a:solidFill>
              <a:schemeClr val="bg1"/>
            </a:solidFill>
          </a:endParaRPr>
        </a:p>
      </xdr:txBody>
    </xdr:sp>
    <xdr:clientData/>
  </xdr:twoCellAnchor>
  <xdr:twoCellAnchor>
    <xdr:from>
      <xdr:col>2</xdr:col>
      <xdr:colOff>618088</xdr:colOff>
      <xdr:row>9</xdr:row>
      <xdr:rowOff>68810</xdr:rowOff>
    </xdr:from>
    <xdr:to>
      <xdr:col>5</xdr:col>
      <xdr:colOff>610271</xdr:colOff>
      <xdr:row>12</xdr:row>
      <xdr:rowOff>32176</xdr:rowOff>
    </xdr:to>
    <xdr:sp macro="" textlink="'Default Table'!E5">
      <xdr:nvSpPr>
        <xdr:cNvPr id="17" name="TextBox 16">
          <a:extLst>
            <a:ext uri="{FF2B5EF4-FFF2-40B4-BE49-F238E27FC236}">
              <a16:creationId xmlns:a16="http://schemas.microsoft.com/office/drawing/2014/main" id="{10988EBE-3D4D-4212-9605-9FED3E617BB8}"/>
            </a:ext>
          </a:extLst>
        </xdr:cNvPr>
        <xdr:cNvSpPr txBox="1"/>
      </xdr:nvSpPr>
      <xdr:spPr>
        <a:xfrm>
          <a:off x="1999213" y="1688060"/>
          <a:ext cx="2063871" cy="499147"/>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F4AA57FF-6A2D-4979-A780-C939E9868CA6}" type="TxLink">
            <a:rPr lang="en-US" sz="3200" b="0" i="0" u="none" strike="noStrike">
              <a:solidFill>
                <a:schemeClr val="bg1"/>
              </a:solidFill>
              <a:latin typeface="Aptos Narrow"/>
            </a:rPr>
            <a:pPr/>
            <a:t>$4,568,527.32</a:t>
          </a:fld>
          <a:endParaRPr lang="en-US" sz="3200">
            <a:solidFill>
              <a:schemeClr val="bg1"/>
            </a:solidFill>
          </a:endParaRPr>
        </a:p>
      </xdr:txBody>
    </xdr:sp>
    <xdr:clientData/>
  </xdr:twoCellAnchor>
  <xdr:twoCellAnchor>
    <xdr:from>
      <xdr:col>1</xdr:col>
      <xdr:colOff>30041</xdr:colOff>
      <xdr:row>16</xdr:row>
      <xdr:rowOff>142691</xdr:rowOff>
    </xdr:from>
    <xdr:to>
      <xdr:col>2</xdr:col>
      <xdr:colOff>683969</xdr:colOff>
      <xdr:row>19</xdr:row>
      <xdr:rowOff>105263</xdr:rowOff>
    </xdr:to>
    <xdr:sp macro="" textlink="'Default Table'!I5">
      <xdr:nvSpPr>
        <xdr:cNvPr id="18" name="TextBox 17">
          <a:extLst>
            <a:ext uri="{FF2B5EF4-FFF2-40B4-BE49-F238E27FC236}">
              <a16:creationId xmlns:a16="http://schemas.microsoft.com/office/drawing/2014/main" id="{A5D81383-8788-4D90-ACEA-56F3FB69C263}"/>
            </a:ext>
          </a:extLst>
        </xdr:cNvPr>
        <xdr:cNvSpPr txBox="1"/>
      </xdr:nvSpPr>
      <xdr:spPr>
        <a:xfrm>
          <a:off x="720604" y="3012097"/>
          <a:ext cx="1344490" cy="498354"/>
        </a:xfrm>
        <a:prstGeom prst="rect">
          <a:avLst/>
        </a:prstGeom>
        <a:no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t"/>
        <a:lstStyle/>
        <a:p>
          <a:fld id="{64C53E2B-6981-4BB4-9D93-62C2104E7AE4}" type="TxLink">
            <a:rPr lang="en-US" sz="3200" b="0" i="0" u="none" strike="noStrike">
              <a:solidFill>
                <a:schemeClr val="bg1"/>
              </a:solidFill>
              <a:latin typeface="Aptos Narrow"/>
            </a:rPr>
            <a:pPr/>
            <a:t>75%</a:t>
          </a:fld>
          <a:endParaRPr lang="en-US" sz="3200">
            <a:solidFill>
              <a:schemeClr val="bg1"/>
            </a:solidFill>
          </a:endParaRPr>
        </a:p>
      </xdr:txBody>
    </xdr:sp>
    <xdr:clientData/>
  </xdr:twoCellAnchor>
  <xdr:twoCellAnchor>
    <xdr:from>
      <xdr:col>6</xdr:col>
      <xdr:colOff>195627</xdr:colOff>
      <xdr:row>2</xdr:row>
      <xdr:rowOff>49610</xdr:rowOff>
    </xdr:from>
    <xdr:to>
      <xdr:col>14</xdr:col>
      <xdr:colOff>3131345</xdr:colOff>
      <xdr:row>18</xdr:row>
      <xdr:rowOff>66675</xdr:rowOff>
    </xdr:to>
    <xdr:graphicFrame macro="">
      <xdr:nvGraphicFramePr>
        <xdr:cNvPr id="19" name="Chart 18">
          <a:extLst>
            <a:ext uri="{FF2B5EF4-FFF2-40B4-BE49-F238E27FC236}">
              <a16:creationId xmlns:a16="http://schemas.microsoft.com/office/drawing/2014/main" id="{4AEE3BA1-B779-478B-89CD-9BFC24D62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3226594</xdr:colOff>
      <xdr:row>2</xdr:row>
      <xdr:rowOff>50798</xdr:rowOff>
    </xdr:from>
    <xdr:to>
      <xdr:col>23</xdr:col>
      <xdr:colOff>547687</xdr:colOff>
      <xdr:row>18</xdr:row>
      <xdr:rowOff>69453</xdr:rowOff>
    </xdr:to>
    <xdr:graphicFrame macro="">
      <xdr:nvGraphicFramePr>
        <xdr:cNvPr id="20" name="Chart 19">
          <a:extLst>
            <a:ext uri="{FF2B5EF4-FFF2-40B4-BE49-F238E27FC236}">
              <a16:creationId xmlns:a16="http://schemas.microsoft.com/office/drawing/2014/main" id="{43298CE6-1087-41C1-9001-2B56120DF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188118</xdr:colOff>
      <xdr:row>18</xdr:row>
      <xdr:rowOff>166687</xdr:rowOff>
    </xdr:from>
    <xdr:to>
      <xdr:col>14</xdr:col>
      <xdr:colOff>159544</xdr:colOff>
      <xdr:row>30</xdr:row>
      <xdr:rowOff>59531</xdr:rowOff>
    </xdr:to>
    <xdr:graphicFrame macro="">
      <xdr:nvGraphicFramePr>
        <xdr:cNvPr id="21" name="Chart 20">
          <a:extLst>
            <a:ext uri="{FF2B5EF4-FFF2-40B4-BE49-F238E27FC236}">
              <a16:creationId xmlns:a16="http://schemas.microsoft.com/office/drawing/2014/main" id="{4D619224-FA57-4E9C-8ECA-E728945E2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514350</xdr:colOff>
      <xdr:row>18</xdr:row>
      <xdr:rowOff>168672</xdr:rowOff>
    </xdr:from>
    <xdr:to>
      <xdr:col>23</xdr:col>
      <xdr:colOff>581025</xdr:colOff>
      <xdr:row>30</xdr:row>
      <xdr:rowOff>85725</xdr:rowOff>
    </xdr:to>
    <xdr:graphicFrame macro="">
      <xdr:nvGraphicFramePr>
        <xdr:cNvPr id="24" name="Chart 23">
          <a:extLst>
            <a:ext uri="{FF2B5EF4-FFF2-40B4-BE49-F238E27FC236}">
              <a16:creationId xmlns:a16="http://schemas.microsoft.com/office/drawing/2014/main" id="{8B6A7998-4019-4DDA-8E07-CED69364D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247650</xdr:colOff>
      <xdr:row>18</xdr:row>
      <xdr:rowOff>152400</xdr:rowOff>
    </xdr:from>
    <xdr:to>
      <xdr:col>17</xdr:col>
      <xdr:colOff>438150</xdr:colOff>
      <xdr:row>30</xdr:row>
      <xdr:rowOff>76200</xdr:rowOff>
    </xdr:to>
    <xdr:graphicFrame macro="">
      <xdr:nvGraphicFramePr>
        <xdr:cNvPr id="25" name="Chart 24">
          <a:extLst>
            <a:ext uri="{FF2B5EF4-FFF2-40B4-BE49-F238E27FC236}">
              <a16:creationId xmlns:a16="http://schemas.microsoft.com/office/drawing/2014/main" id="{8AFEB6CC-EA76-44CE-97A5-3A6BCB17B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297657</xdr:colOff>
      <xdr:row>13</xdr:row>
      <xdr:rowOff>166687</xdr:rowOff>
    </xdr:from>
    <xdr:to>
      <xdr:col>4</xdr:col>
      <xdr:colOff>226218</xdr:colOff>
      <xdr:row>19</xdr:row>
      <xdr:rowOff>166688</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09DC5B26-6CC9-40D2-B1A4-C36E2F7334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78782" y="2500312"/>
              <a:ext cx="1309686" cy="1071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130968</xdr:colOff>
      <xdr:row>20</xdr:row>
      <xdr:rowOff>83344</xdr:rowOff>
    </xdr:from>
    <xdr:to>
      <xdr:col>5</xdr:col>
      <xdr:colOff>654843</xdr:colOff>
      <xdr:row>30</xdr:row>
      <xdr:rowOff>154781</xdr:rowOff>
    </xdr:to>
    <mc:AlternateContent xmlns:mc="http://schemas.openxmlformats.org/markup-compatibility/2006" xmlns:a14="http://schemas.microsoft.com/office/drawing/2010/main">
      <mc:Choice Requires="a14">
        <xdr:graphicFrame macro="">
          <xdr:nvGraphicFramePr>
            <xdr:cNvPr id="28" name="Diagnosis">
              <a:extLst>
                <a:ext uri="{FF2B5EF4-FFF2-40B4-BE49-F238E27FC236}">
                  <a16:creationId xmlns:a16="http://schemas.microsoft.com/office/drawing/2014/main" id="{68AF9E9F-CB5B-4C1C-8D4C-1F686522D98B}"/>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30968" y="3667125"/>
              <a:ext cx="3976688"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250031</xdr:colOff>
      <xdr:row>13</xdr:row>
      <xdr:rowOff>154781</xdr:rowOff>
    </xdr:from>
    <xdr:to>
      <xdr:col>6</xdr:col>
      <xdr:colOff>11905</xdr:colOff>
      <xdr:row>20</xdr:row>
      <xdr:rowOff>0</xdr:rowOff>
    </xdr:to>
    <mc:AlternateContent xmlns:mc="http://schemas.openxmlformats.org/markup-compatibility/2006" xmlns:a14="http://schemas.microsoft.com/office/drawing/2010/main">
      <mc:Choice Requires="a14">
        <xdr:graphicFrame macro="">
          <xdr:nvGraphicFramePr>
            <xdr:cNvPr id="29" name="Years">
              <a:extLst>
                <a:ext uri="{FF2B5EF4-FFF2-40B4-BE49-F238E27FC236}">
                  <a16:creationId xmlns:a16="http://schemas.microsoft.com/office/drawing/2014/main" id="{DA7F942D-14A1-4069-A7DD-09D9FFC398E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12281" y="2488406"/>
              <a:ext cx="1142999"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59530</xdr:colOff>
      <xdr:row>4</xdr:row>
      <xdr:rowOff>119063</xdr:rowOff>
    </xdr:from>
    <xdr:to>
      <xdr:col>1</xdr:col>
      <xdr:colOff>128586</xdr:colOff>
      <xdr:row>6</xdr:row>
      <xdr:rowOff>142876</xdr:rowOff>
    </xdr:to>
    <xdr:pic>
      <xdr:nvPicPr>
        <xdr:cNvPr id="22" name="Graphic 21" descr="Brain in head with solid fill">
          <a:extLst>
            <a:ext uri="{FF2B5EF4-FFF2-40B4-BE49-F238E27FC236}">
              <a16:creationId xmlns:a16="http://schemas.microsoft.com/office/drawing/2014/main" id="{AECAF2C0-64A8-41AF-BCC7-F4637DC136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9530" y="845344"/>
          <a:ext cx="759619" cy="381001"/>
        </a:xfrm>
        <a:prstGeom prst="rect">
          <a:avLst/>
        </a:prstGeom>
      </xdr:spPr>
    </xdr:pic>
    <xdr:clientData/>
  </xdr:twoCellAnchor>
  <xdr:twoCellAnchor editAs="oneCell">
    <xdr:from>
      <xdr:col>0</xdr:col>
      <xdr:colOff>130969</xdr:colOff>
      <xdr:row>0</xdr:row>
      <xdr:rowOff>47624</xdr:rowOff>
    </xdr:from>
    <xdr:to>
      <xdr:col>1</xdr:col>
      <xdr:colOff>130968</xdr:colOff>
      <xdr:row>2</xdr:row>
      <xdr:rowOff>166687</xdr:rowOff>
    </xdr:to>
    <xdr:pic>
      <xdr:nvPicPr>
        <xdr:cNvPr id="31" name="Graphic 30" descr="Medical with solid fill">
          <a:extLst>
            <a:ext uri="{FF2B5EF4-FFF2-40B4-BE49-F238E27FC236}">
              <a16:creationId xmlns:a16="http://schemas.microsoft.com/office/drawing/2014/main" id="{4932CBE7-80FF-4829-964F-399DF4C47B0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969" y="47624"/>
          <a:ext cx="690562" cy="476251"/>
        </a:xfrm>
        <a:prstGeom prst="rect">
          <a:avLst/>
        </a:prstGeom>
      </xdr:spPr>
    </xdr:pic>
    <xdr:clientData/>
  </xdr:twoCellAnchor>
  <xdr:twoCellAnchor editAs="oneCell">
    <xdr:from>
      <xdr:col>0</xdr:col>
      <xdr:colOff>666750</xdr:colOff>
      <xdr:row>0</xdr:row>
      <xdr:rowOff>23813</xdr:rowOff>
    </xdr:from>
    <xdr:to>
      <xdr:col>1</xdr:col>
      <xdr:colOff>666749</xdr:colOff>
      <xdr:row>2</xdr:row>
      <xdr:rowOff>142876</xdr:rowOff>
    </xdr:to>
    <xdr:pic>
      <xdr:nvPicPr>
        <xdr:cNvPr id="30" name="Graphic 29" descr="Medical with solid fill">
          <a:extLst>
            <a:ext uri="{FF2B5EF4-FFF2-40B4-BE49-F238E27FC236}">
              <a16:creationId xmlns:a16="http://schemas.microsoft.com/office/drawing/2014/main" id="{7CDF8248-494D-40A8-B366-F1C2ADAEB10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66750" y="23813"/>
          <a:ext cx="690562" cy="476251"/>
        </a:xfrm>
        <a:prstGeom prst="rect">
          <a:avLst/>
        </a:prstGeom>
      </xdr:spPr>
    </xdr:pic>
    <xdr:clientData/>
  </xdr:twoCellAnchor>
  <xdr:twoCellAnchor editAs="oneCell">
    <xdr:from>
      <xdr:col>1</xdr:col>
      <xdr:colOff>523874</xdr:colOff>
      <xdr:row>0</xdr:row>
      <xdr:rowOff>23813</xdr:rowOff>
    </xdr:from>
    <xdr:to>
      <xdr:col>2</xdr:col>
      <xdr:colOff>523874</xdr:colOff>
      <xdr:row>2</xdr:row>
      <xdr:rowOff>142876</xdr:rowOff>
    </xdr:to>
    <xdr:pic>
      <xdr:nvPicPr>
        <xdr:cNvPr id="32" name="Graphic 31" descr="Medical with solid fill">
          <a:extLst>
            <a:ext uri="{FF2B5EF4-FFF2-40B4-BE49-F238E27FC236}">
              <a16:creationId xmlns:a16="http://schemas.microsoft.com/office/drawing/2014/main" id="{CD83A971-228F-4A9D-B3E4-E69C0B5B7D1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14437" y="23813"/>
          <a:ext cx="690562" cy="4762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0.301274768521" createdVersion="7" refreshedVersion="7" minRefreshableVersion="3" recordCount="1000" xr:uid="{5CD88DEF-C737-43DA-816C-96A7A6BC74A7}">
  <cacheSource type="worksheet">
    <worksheetSource ref="A1:P1001" sheet="Hospital Patients"/>
  </cacheSource>
  <cacheFields count="18">
    <cacheField name="Patient ID" numFmtId="0">
      <sharedItems/>
    </cacheField>
    <cacheField name="Patient Name" numFmtId="0">
      <sharedItems/>
    </cacheField>
    <cacheField name="Age" numFmtId="0">
      <sharedItems containsSemiMixedTypes="0" containsString="0" containsNumber="1" containsInteger="1" minValue="1" maxValue="85"/>
    </cacheField>
    <cacheField name="Gender" numFmtId="0">
      <sharedItems count="2">
        <s v="Male"/>
        <s v="Female"/>
      </sharedItems>
    </cacheField>
    <cacheField name="Admission Date" numFmtId="164">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7" base="4">
        <rangePr groupBy="months" startDate="2024-01-01T00:00:00" endDate="2025-12-29T00:00:00"/>
        <groupItems count="14">
          <s v="&lt;1/1/2024"/>
          <s v="Jan"/>
          <s v="Feb"/>
          <s v="Mar"/>
          <s v="Apr"/>
          <s v="May"/>
          <s v="Jun"/>
          <s v="Jul"/>
          <s v="Aug"/>
          <s v="Sep"/>
          <s v="Oct"/>
          <s v="Nov"/>
          <s v="Dec"/>
          <s v="&gt;12/29/2025"/>
        </groupItems>
      </fieldGroup>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acheField>
    <cacheField name="Payment Status" numFmtId="0">
      <sharedItems count="3">
        <s v="Paid"/>
        <s v="Pending"/>
        <s v="Partially Paid"/>
      </sharedItems>
    </cacheField>
    <cacheField name="Insurance Coverage" numFmtId="9">
      <sharedItems containsSemiMixedTypes="0" containsString="0" containsNumber="1" minValue="0" maxValue="1"/>
    </cacheField>
    <cacheField name="Insurance Coverage Amount" numFmtId="165">
      <sharedItems containsSemiMixedTypes="0" containsString="0" containsNumber="1" minValue="0" maxValue="35549.129999999997"/>
    </cacheField>
    <cacheField name="Patient Responsibilities Amount" numFmtId="165">
      <sharedItems containsSemiMixedTypes="0" containsString="0" containsNumber="1" minValue="0" maxValue="38493.53"/>
    </cacheField>
    <cacheField name="Average Length Of Stay" numFmtId="0">
      <sharedItems containsSemiMixedTypes="0" containsString="0" containsNumber="1" containsInteger="1" minValue="1" maxValue="14"/>
    </cacheField>
    <cacheField name="Paid Amount" numFmtId="165">
      <sharedItems containsSemiMixedTypes="0" containsString="0" containsNumber="1" minValue="0" maxValue="38501.9"/>
    </cacheField>
    <cacheField name="Age Category" numFmtId="0">
      <sharedItems count="5">
        <s v="Btw 51&amp;65"/>
        <s v=" 66&amp;Above"/>
        <s v="Btw 18&amp;35"/>
        <s v="Btw 36&amp;50"/>
        <s v="Under 18"/>
      </sharedItems>
    </cacheField>
    <cacheField name="Quarters" numFmtId="0" databaseField="0">
      <fieldGroup base="4">
        <rangePr groupBy="quarters" startDate="2024-01-01T00:00:00" endDate="2025-12-29T00:00:00"/>
        <groupItems count="6">
          <s v="&lt;1/1/2024"/>
          <s v="Qtr1"/>
          <s v="Qtr2"/>
          <s v="Qtr3"/>
          <s v="Qtr4"/>
          <s v="&gt;12/29/2025"/>
        </groupItems>
      </fieldGroup>
    </cacheField>
    <cacheField name="Years" numFmtId="0" databaseField="0">
      <fieldGroup base="4">
        <rangePr groupBy="years" startDate="2024-01-01T00:00:00" endDate="2025-12-29T00:00:00"/>
        <groupItems count="4">
          <s v="&lt;1/1/2024"/>
          <s v="2024"/>
          <s v="2025"/>
          <s v="&gt;12/29/2025"/>
        </groupItems>
      </fieldGroup>
    </cacheField>
  </cacheFields>
  <extLst>
    <ext xmlns:x14="http://schemas.microsoft.com/office/spreadsheetml/2009/9/main" uri="{725AE2AE-9491-48be-B2B4-4EB974FC3084}">
      <x14:pivotCacheDefinition pivotCacheId="505121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3001"/>
    <s v="Thomas Martin"/>
    <n v="57"/>
    <x v="0"/>
    <x v="0"/>
    <d v="2024-07-23T00:00:00"/>
    <x v="0"/>
    <x v="0"/>
    <n v="15359.41"/>
    <x v="0"/>
    <n v="0.6"/>
    <n v="9215.6459999999988"/>
    <n v="6143.7640000000001"/>
    <n v="8"/>
    <n v="15359.41"/>
    <x v="0"/>
  </r>
  <r>
    <s v="PAT-3002"/>
    <s v="Betty Thompson"/>
    <n v="62"/>
    <x v="1"/>
    <x v="1"/>
    <d v="2025-03-23T00:00:00"/>
    <x v="0"/>
    <x v="1"/>
    <n v="21896.6"/>
    <x v="1"/>
    <n v="0.8"/>
    <n v="17517.28"/>
    <n v="4379.3199999999988"/>
    <n v="10"/>
    <n v="0"/>
    <x v="0"/>
  </r>
  <r>
    <s v="PAT-3003"/>
    <s v="Lisa Rodriguez"/>
    <n v="82"/>
    <x v="1"/>
    <x v="2"/>
    <d v="2024-04-08T00:00:00"/>
    <x v="1"/>
    <x v="2"/>
    <n v="6404.86"/>
    <x v="2"/>
    <n v="0"/>
    <n v="0"/>
    <n v="6404.86"/>
    <n v="3"/>
    <n v="0"/>
    <x v="1"/>
  </r>
  <r>
    <s v="PAT-3004"/>
    <s v="Donna Jones"/>
    <n v="29"/>
    <x v="1"/>
    <x v="3"/>
    <d v="2024-10-24T00:00:00"/>
    <x v="1"/>
    <x v="3"/>
    <n v="1001.68"/>
    <x v="1"/>
    <n v="0.9"/>
    <n v="901.51199999999994"/>
    <n v="100.16799999999998"/>
    <n v="1"/>
    <n v="0"/>
    <x v="2"/>
  </r>
  <r>
    <s v="PAT-3005"/>
    <s v="Michael Walker"/>
    <n v="65"/>
    <x v="0"/>
    <x v="4"/>
    <d v="2024-12-01T00:00:00"/>
    <x v="2"/>
    <x v="4"/>
    <n v="4022.42"/>
    <x v="1"/>
    <n v="0.8"/>
    <n v="3217.9360000000001"/>
    <n v="804.48399999999981"/>
    <n v="6"/>
    <n v="0"/>
    <x v="0"/>
  </r>
  <r>
    <s v="PAT-3006"/>
    <s v="Kenneth Lewis"/>
    <n v="53"/>
    <x v="0"/>
    <x v="5"/>
    <d v="2024-07-28T00:00:00"/>
    <x v="2"/>
    <x v="5"/>
    <n v="6621.96"/>
    <x v="2"/>
    <n v="0.5"/>
    <n v="3310.98"/>
    <n v="3310.98"/>
    <n v="7"/>
    <n v="0"/>
    <x v="0"/>
  </r>
  <r>
    <s v="PAT-3007"/>
    <s v="Linda Smith"/>
    <n v="46"/>
    <x v="1"/>
    <x v="6"/>
    <d v="2024-02-13T00:00:00"/>
    <x v="0"/>
    <x v="6"/>
    <n v="7676.36"/>
    <x v="2"/>
    <n v="0.7"/>
    <n v="5373.4519999999993"/>
    <n v="2302.9080000000004"/>
    <n v="4"/>
    <n v="0"/>
    <x v="3"/>
  </r>
  <r>
    <s v="PAT-3008"/>
    <s v="Susan Garcia"/>
    <n v="21"/>
    <x v="1"/>
    <x v="7"/>
    <d v="2024-02-27T00:00:00"/>
    <x v="1"/>
    <x v="7"/>
    <n v="7381.69"/>
    <x v="1"/>
    <n v="0.8"/>
    <n v="5905.3519999999999"/>
    <n v="1476.3379999999995"/>
    <n v="3"/>
    <n v="0"/>
    <x v="2"/>
  </r>
  <r>
    <s v="PAT-3009"/>
    <s v="James Jones"/>
    <n v="62"/>
    <x v="0"/>
    <x v="8"/>
    <d v="2024-11-17T00:00:00"/>
    <x v="2"/>
    <x v="8"/>
    <n v="5206.3999999999996"/>
    <x v="1"/>
    <n v="0.8"/>
    <n v="4165.12"/>
    <n v="1041.2799999999997"/>
    <n v="6"/>
    <n v="0"/>
    <x v="0"/>
  </r>
  <r>
    <s v="PAT-3010"/>
    <s v="Christopher Johnson"/>
    <n v="59"/>
    <x v="0"/>
    <x v="9"/>
    <d v="2025-08-06T00:00:00"/>
    <x v="1"/>
    <x v="7"/>
    <n v="2498.98"/>
    <x v="1"/>
    <n v="0.5"/>
    <n v="1249.49"/>
    <n v="1249.49"/>
    <n v="1"/>
    <n v="0"/>
    <x v="0"/>
  </r>
  <r>
    <s v="PAT-3011"/>
    <s v="Daniel Thomas"/>
    <n v="7"/>
    <x v="0"/>
    <x v="10"/>
    <d v="2025-11-08T00:00:00"/>
    <x v="3"/>
    <x v="9"/>
    <n v="2096.73"/>
    <x v="0"/>
    <n v="0.7"/>
    <n v="1467.711"/>
    <n v="629.01900000000012"/>
    <n v="2"/>
    <n v="2096.73"/>
    <x v="4"/>
  </r>
  <r>
    <s v="PAT-3012"/>
    <s v="Sandra Smith"/>
    <n v="85"/>
    <x v="1"/>
    <x v="11"/>
    <d v="2025-03-08T00:00:00"/>
    <x v="2"/>
    <x v="10"/>
    <n v="4619.6099999999997"/>
    <x v="1"/>
    <n v="0.7"/>
    <n v="3233.7269999999994"/>
    <n v="1385.883"/>
    <n v="5"/>
    <n v="0"/>
    <x v="1"/>
  </r>
  <r>
    <s v="PAT-3013"/>
    <s v="Michael Smith"/>
    <n v="40"/>
    <x v="0"/>
    <x v="12"/>
    <d v="2024-07-29T00:00:00"/>
    <x v="1"/>
    <x v="2"/>
    <n v="3367.87"/>
    <x v="0"/>
    <n v="0.9"/>
    <n v="3031.0830000000001"/>
    <n v="336.78699999999992"/>
    <n v="2"/>
    <n v="3367.87"/>
    <x v="3"/>
  </r>
  <r>
    <s v="PAT-3014"/>
    <s v="Thomas Taylor"/>
    <n v="24"/>
    <x v="0"/>
    <x v="13"/>
    <d v="2024-08-22T00:00:00"/>
    <x v="2"/>
    <x v="5"/>
    <n v="2287.25"/>
    <x v="0"/>
    <n v="0.6"/>
    <n v="1372.35"/>
    <n v="914.90000000000009"/>
    <n v="2"/>
    <n v="2287.25"/>
    <x v="2"/>
  </r>
  <r>
    <s v="PAT-3015"/>
    <s v="Jennifer Williams"/>
    <n v="67"/>
    <x v="1"/>
    <x v="14"/>
    <d v="2025-12-21T00:00:00"/>
    <x v="4"/>
    <x v="11"/>
    <n v="12489.51"/>
    <x v="0"/>
    <n v="1"/>
    <n v="12489.51"/>
    <n v="0"/>
    <n v="9"/>
    <n v="12489.51"/>
    <x v="1"/>
  </r>
  <r>
    <s v="PAT-3016"/>
    <s v="Nancy Lee"/>
    <n v="70"/>
    <x v="1"/>
    <x v="15"/>
    <d v="2025-02-13T00:00:00"/>
    <x v="2"/>
    <x v="5"/>
    <n v="4262.21"/>
    <x v="0"/>
    <n v="1"/>
    <n v="4262.21"/>
    <n v="0"/>
    <n v="6"/>
    <n v="4262.21"/>
    <x v="1"/>
  </r>
  <r>
    <s v="PAT-3017"/>
    <s v="Kevin Miller"/>
    <n v="38"/>
    <x v="0"/>
    <x v="16"/>
    <d v="2024-08-28T00:00:00"/>
    <x v="2"/>
    <x v="5"/>
    <n v="5523.81"/>
    <x v="1"/>
    <n v="0.7"/>
    <n v="3866.6669999999999"/>
    <n v="1657.1430000000003"/>
    <n v="4"/>
    <n v="0"/>
    <x v="3"/>
  </r>
  <r>
    <s v="PAT-3018"/>
    <s v="Elizabeth Moore"/>
    <n v="81"/>
    <x v="1"/>
    <x v="17"/>
    <d v="2024-05-29T00:00:00"/>
    <x v="2"/>
    <x v="4"/>
    <n v="1097.76"/>
    <x v="0"/>
    <n v="0.8"/>
    <n v="878.20800000000008"/>
    <n v="219.55199999999994"/>
    <n v="2"/>
    <n v="1097.76"/>
    <x v="1"/>
  </r>
  <r>
    <s v="PAT-3019"/>
    <s v="Carol Rodriguez"/>
    <n v="35"/>
    <x v="1"/>
    <x v="18"/>
    <d v="2024-12-29T00:00:00"/>
    <x v="5"/>
    <x v="12"/>
    <n v="14272.73"/>
    <x v="1"/>
    <n v="0.8"/>
    <n v="11418.184000000001"/>
    <n v="2854.5459999999994"/>
    <n v="6"/>
    <n v="0"/>
    <x v="2"/>
  </r>
  <r>
    <s v="PAT-3020"/>
    <s v="Karen Hernandez"/>
    <n v="42"/>
    <x v="1"/>
    <x v="19"/>
    <d v="2025-06-09T00:00:00"/>
    <x v="4"/>
    <x v="13"/>
    <n v="18429.310000000001"/>
    <x v="0"/>
    <n v="1"/>
    <n v="18429.310000000001"/>
    <n v="0"/>
    <n v="13"/>
    <n v="18429.310000000001"/>
    <x v="3"/>
  </r>
  <r>
    <s v="PAT-3021"/>
    <s v="Michael Miller"/>
    <n v="36"/>
    <x v="0"/>
    <x v="20"/>
    <d v="2025-10-28T00:00:00"/>
    <x v="4"/>
    <x v="14"/>
    <n v="11481.03"/>
    <x v="1"/>
    <n v="0.8"/>
    <n v="9184.8240000000005"/>
    <n v="2296.2059999999997"/>
    <n v="6"/>
    <n v="0"/>
    <x v="3"/>
  </r>
  <r>
    <s v="PAT-3022"/>
    <s v="Karen Martinez"/>
    <n v="67"/>
    <x v="1"/>
    <x v="21"/>
    <d v="2025-02-14T00:00:00"/>
    <x v="0"/>
    <x v="0"/>
    <n v="6324.27"/>
    <x v="0"/>
    <n v="0.8"/>
    <n v="5059.4160000000011"/>
    <n v="1264.8539999999998"/>
    <n v="3"/>
    <n v="6324.27"/>
    <x v="1"/>
  </r>
  <r>
    <s v="PAT-3023"/>
    <s v="William Wilson"/>
    <n v="23"/>
    <x v="0"/>
    <x v="22"/>
    <d v="2024-11-18T00:00:00"/>
    <x v="1"/>
    <x v="15"/>
    <n v="1888.07"/>
    <x v="2"/>
    <n v="0.8"/>
    <n v="1510.4560000000001"/>
    <n v="377.61399999999992"/>
    <n v="1"/>
    <n v="0"/>
    <x v="2"/>
  </r>
  <r>
    <s v="PAT-3024"/>
    <s v="Ashley Young"/>
    <n v="66"/>
    <x v="1"/>
    <x v="23"/>
    <d v="2024-03-27T00:00:00"/>
    <x v="0"/>
    <x v="0"/>
    <n v="21654.18"/>
    <x v="0"/>
    <n v="0.7"/>
    <n v="15157.925999999999"/>
    <n v="6496.2540000000008"/>
    <n v="8"/>
    <n v="21654.18"/>
    <x v="1"/>
  </r>
  <r>
    <s v="PAT-3025"/>
    <s v="Betty Wilson"/>
    <n v="57"/>
    <x v="1"/>
    <x v="24"/>
    <d v="2025-02-21T00:00:00"/>
    <x v="2"/>
    <x v="16"/>
    <n v="2641.14"/>
    <x v="0"/>
    <n v="1"/>
    <n v="2641.14"/>
    <n v="0"/>
    <n v="3"/>
    <n v="2641.14"/>
    <x v="0"/>
  </r>
  <r>
    <s v="PAT-3026"/>
    <s v="Steven Garcia"/>
    <n v="44"/>
    <x v="0"/>
    <x v="25"/>
    <d v="2024-06-24T00:00:00"/>
    <x v="2"/>
    <x v="10"/>
    <n v="5522.03"/>
    <x v="2"/>
    <n v="0"/>
    <n v="0"/>
    <n v="5522.03"/>
    <n v="4"/>
    <n v="0"/>
    <x v="3"/>
  </r>
  <r>
    <s v="PAT-3027"/>
    <s v="Paul Taylor"/>
    <n v="58"/>
    <x v="0"/>
    <x v="26"/>
    <d v="2024-06-08T00:00:00"/>
    <x v="0"/>
    <x v="6"/>
    <n v="8789.32"/>
    <x v="1"/>
    <n v="0.9"/>
    <n v="7910.3879999999999"/>
    <n v="878.93199999999979"/>
    <n v="5"/>
    <n v="0"/>
    <x v="0"/>
  </r>
  <r>
    <s v="PAT-3028"/>
    <s v="Daniel Lopez"/>
    <n v="62"/>
    <x v="0"/>
    <x v="27"/>
    <d v="2025-01-30T00:00:00"/>
    <x v="5"/>
    <x v="17"/>
    <n v="7969.42"/>
    <x v="0"/>
    <n v="1"/>
    <n v="7969.42"/>
    <n v="0"/>
    <n v="5"/>
    <n v="7969.42"/>
    <x v="0"/>
  </r>
  <r>
    <s v="PAT-3029"/>
    <s v="Joseph Brown"/>
    <n v="52"/>
    <x v="0"/>
    <x v="28"/>
    <d v="2025-04-12T00:00:00"/>
    <x v="4"/>
    <x v="18"/>
    <n v="7929.71"/>
    <x v="0"/>
    <n v="0.9"/>
    <n v="7136.7390000000005"/>
    <n v="792.97099999999978"/>
    <n v="6"/>
    <n v="7929.71"/>
    <x v="0"/>
  </r>
  <r>
    <s v="PAT-3030"/>
    <s v="Linda Wilson"/>
    <n v="35"/>
    <x v="1"/>
    <x v="29"/>
    <d v="2024-10-04T00:00:00"/>
    <x v="1"/>
    <x v="3"/>
    <n v="4772.8900000000003"/>
    <x v="0"/>
    <n v="0.9"/>
    <n v="4295.6010000000006"/>
    <n v="477.28899999999993"/>
    <n v="3"/>
    <n v="4772.8900000000003"/>
    <x v="2"/>
  </r>
  <r>
    <s v="PAT-3031"/>
    <s v="Emily Moore"/>
    <n v="79"/>
    <x v="1"/>
    <x v="30"/>
    <d v="2024-06-26T00:00:00"/>
    <x v="0"/>
    <x v="19"/>
    <n v="6826.49"/>
    <x v="0"/>
    <n v="0.8"/>
    <n v="5461.192"/>
    <n v="1365.2979999999995"/>
    <n v="3"/>
    <n v="6826.49"/>
    <x v="1"/>
  </r>
  <r>
    <s v="PAT-3032"/>
    <s v="Sarah Wilson"/>
    <n v="69"/>
    <x v="1"/>
    <x v="31"/>
    <d v="2024-03-22T00:00:00"/>
    <x v="2"/>
    <x v="4"/>
    <n v="2177.7800000000002"/>
    <x v="2"/>
    <n v="0.9"/>
    <n v="1960.0020000000002"/>
    <n v="217.77799999999996"/>
    <n v="2"/>
    <n v="0"/>
    <x v="1"/>
  </r>
  <r>
    <s v="PAT-3033"/>
    <s v="Nancy Clark"/>
    <n v="21"/>
    <x v="1"/>
    <x v="32"/>
    <d v="2025-05-23T00:00:00"/>
    <x v="1"/>
    <x v="3"/>
    <n v="3527.3"/>
    <x v="2"/>
    <n v="0"/>
    <n v="0"/>
    <n v="3527.3"/>
    <n v="2"/>
    <n v="0"/>
    <x v="2"/>
  </r>
  <r>
    <s v="PAT-3034"/>
    <s v="Kevin Clark"/>
    <n v="49"/>
    <x v="0"/>
    <x v="33"/>
    <d v="2025-10-16T00:00:00"/>
    <x v="1"/>
    <x v="3"/>
    <n v="1184.01"/>
    <x v="0"/>
    <n v="1"/>
    <n v="1184.01"/>
    <n v="0"/>
    <n v="1"/>
    <n v="1184.01"/>
    <x v="3"/>
  </r>
  <r>
    <s v="PAT-3035"/>
    <s v="Joseph Williams"/>
    <n v="61"/>
    <x v="0"/>
    <x v="34"/>
    <d v="2025-03-26T00:00:00"/>
    <x v="0"/>
    <x v="20"/>
    <n v="10760.65"/>
    <x v="0"/>
    <n v="1"/>
    <n v="10760.65"/>
    <n v="0"/>
    <n v="5"/>
    <n v="10760.65"/>
    <x v="0"/>
  </r>
  <r>
    <s v="PAT-3036"/>
    <s v="Jennifer Jackson"/>
    <n v="32"/>
    <x v="1"/>
    <x v="35"/>
    <d v="2025-08-14T00:00:00"/>
    <x v="2"/>
    <x v="21"/>
    <n v="7422.15"/>
    <x v="1"/>
    <n v="0.6"/>
    <n v="4453.29"/>
    <n v="2968.86"/>
    <n v="5"/>
    <n v="0"/>
    <x v="2"/>
  </r>
  <r>
    <s v="PAT-3037"/>
    <s v="Elizabeth Rodriguez"/>
    <n v="7"/>
    <x v="1"/>
    <x v="36"/>
    <d v="2025-06-08T00:00:00"/>
    <x v="3"/>
    <x v="22"/>
    <n v="3623.14"/>
    <x v="0"/>
    <n v="0.5"/>
    <n v="1811.57"/>
    <n v="1811.57"/>
    <n v="5"/>
    <n v="3623.14"/>
    <x v="4"/>
  </r>
  <r>
    <s v="PAT-3038"/>
    <s v="Mark Miller"/>
    <n v="7"/>
    <x v="0"/>
    <x v="37"/>
    <d v="2024-12-11T00:00:00"/>
    <x v="3"/>
    <x v="23"/>
    <n v="946.04"/>
    <x v="1"/>
    <n v="0.9"/>
    <n v="851.43600000000004"/>
    <n v="94.603999999999971"/>
    <n v="1"/>
    <n v="0"/>
    <x v="4"/>
  </r>
  <r>
    <s v="PAT-3039"/>
    <s v="Kenneth Martinez"/>
    <n v="4"/>
    <x v="0"/>
    <x v="20"/>
    <d v="2025-10-25T00:00:00"/>
    <x v="3"/>
    <x v="24"/>
    <n v="3976.01"/>
    <x v="2"/>
    <n v="0.6"/>
    <n v="2385.6060000000002"/>
    <n v="1590.4040000000002"/>
    <n v="3"/>
    <n v="0"/>
    <x v="4"/>
  </r>
  <r>
    <s v="PAT-3040"/>
    <s v="Karen Young"/>
    <n v="81"/>
    <x v="1"/>
    <x v="38"/>
    <d v="2024-12-26T00:00:00"/>
    <x v="0"/>
    <x v="0"/>
    <n v="26928.32"/>
    <x v="2"/>
    <n v="0.7"/>
    <n v="18849.823999999997"/>
    <n v="8078.496000000001"/>
    <n v="9"/>
    <n v="0"/>
    <x v="1"/>
  </r>
  <r>
    <s v="PAT-3041"/>
    <s v="Dorothy Ramirez"/>
    <n v="81"/>
    <x v="1"/>
    <x v="39"/>
    <d v="2025-02-18T00:00:00"/>
    <x v="0"/>
    <x v="19"/>
    <n v="7203.24"/>
    <x v="0"/>
    <n v="0.7"/>
    <n v="5042.2679999999991"/>
    <n v="2160.9720000000002"/>
    <n v="5"/>
    <n v="7203.24"/>
    <x v="1"/>
  </r>
  <r>
    <s v="PAT-3042"/>
    <s v="Donna Williams"/>
    <n v="14"/>
    <x v="1"/>
    <x v="40"/>
    <d v="2025-11-22T00:00:00"/>
    <x v="3"/>
    <x v="25"/>
    <n v="5685.06"/>
    <x v="0"/>
    <n v="0.8"/>
    <n v="4548.0480000000007"/>
    <n v="1137.0119999999997"/>
    <n v="4"/>
    <n v="5685.06"/>
    <x v="4"/>
  </r>
  <r>
    <s v="PAT-3043"/>
    <s v="Nancy Harris"/>
    <n v="73"/>
    <x v="1"/>
    <x v="41"/>
    <d v="2025-09-08T00:00:00"/>
    <x v="4"/>
    <x v="26"/>
    <n v="4949.0600000000004"/>
    <x v="0"/>
    <n v="0.5"/>
    <n v="2474.5300000000002"/>
    <n v="2474.5300000000002"/>
    <n v="3"/>
    <n v="4949.0600000000004"/>
    <x v="1"/>
  </r>
  <r>
    <s v="PAT-3044"/>
    <s v="William Wilson"/>
    <n v="50"/>
    <x v="0"/>
    <x v="42"/>
    <d v="2024-12-16T00:00:00"/>
    <x v="4"/>
    <x v="14"/>
    <n v="5586.28"/>
    <x v="0"/>
    <n v="0.9"/>
    <n v="5027.652"/>
    <n v="558.62799999999982"/>
    <n v="4"/>
    <n v="5586.28"/>
    <x v="3"/>
  </r>
  <r>
    <s v="PAT-3045"/>
    <s v="Michelle Taylor"/>
    <n v="73"/>
    <x v="1"/>
    <x v="43"/>
    <d v="2024-07-18T00:00:00"/>
    <x v="2"/>
    <x v="10"/>
    <n v="766.8"/>
    <x v="1"/>
    <n v="0.6"/>
    <n v="460.08"/>
    <n v="306.71999999999997"/>
    <n v="1"/>
    <n v="0"/>
    <x v="1"/>
  </r>
  <r>
    <s v="PAT-3046"/>
    <s v="Elizabeth Rodriguez"/>
    <n v="60"/>
    <x v="1"/>
    <x v="44"/>
    <d v="2024-05-26T00:00:00"/>
    <x v="4"/>
    <x v="13"/>
    <n v="28480.18"/>
    <x v="0"/>
    <n v="0.7"/>
    <n v="19936.126"/>
    <n v="8544.0540000000019"/>
    <n v="13"/>
    <n v="28480.18"/>
    <x v="0"/>
  </r>
  <r>
    <s v="PAT-3047"/>
    <s v="Elizabeth Harris"/>
    <n v="37"/>
    <x v="1"/>
    <x v="45"/>
    <d v="2025-01-08T00:00:00"/>
    <x v="2"/>
    <x v="21"/>
    <n v="1098.9100000000001"/>
    <x v="1"/>
    <n v="0.7"/>
    <n v="769.23699999999997"/>
    <n v="329.67300000000006"/>
    <n v="2"/>
    <n v="0"/>
    <x v="3"/>
  </r>
  <r>
    <s v="PAT-3048"/>
    <s v="David Wilson"/>
    <n v="54"/>
    <x v="0"/>
    <x v="46"/>
    <d v="2025-11-15T00:00:00"/>
    <x v="4"/>
    <x v="27"/>
    <n v="22377.119999999999"/>
    <x v="0"/>
    <n v="0.8"/>
    <n v="17901.696"/>
    <n v="4475.4239999999991"/>
    <n v="10"/>
    <n v="22377.119999999999"/>
    <x v="0"/>
  </r>
  <r>
    <s v="PAT-3049"/>
    <s v="Kevin Wilson"/>
    <n v="1"/>
    <x v="0"/>
    <x v="47"/>
    <d v="2024-09-14T00:00:00"/>
    <x v="3"/>
    <x v="23"/>
    <n v="3895.9"/>
    <x v="1"/>
    <n v="0"/>
    <n v="0"/>
    <n v="3895.9"/>
    <n v="4"/>
    <n v="0"/>
    <x v="4"/>
  </r>
  <r>
    <s v="PAT-3050"/>
    <s v="James Wilson"/>
    <n v="51"/>
    <x v="0"/>
    <x v="48"/>
    <d v="2025-09-29T00:00:00"/>
    <x v="4"/>
    <x v="27"/>
    <n v="10684"/>
    <x v="0"/>
    <n v="0.6"/>
    <n v="6410.4"/>
    <n v="4273.6000000000004"/>
    <n v="9"/>
    <n v="10684"/>
    <x v="0"/>
  </r>
  <r>
    <s v="PAT-3051"/>
    <s v="Jennifer Perez"/>
    <n v="23"/>
    <x v="1"/>
    <x v="49"/>
    <d v="2024-07-10T00:00:00"/>
    <x v="2"/>
    <x v="5"/>
    <n v="3643.5"/>
    <x v="2"/>
    <n v="0.7"/>
    <n v="2550.4499999999998"/>
    <n v="1093.0500000000002"/>
    <n v="4"/>
    <n v="0"/>
    <x v="2"/>
  </r>
  <r>
    <s v="PAT-3052"/>
    <s v="Mary Johnson"/>
    <n v="67"/>
    <x v="1"/>
    <x v="50"/>
    <d v="2024-10-13T00:00:00"/>
    <x v="1"/>
    <x v="2"/>
    <n v="5702.96"/>
    <x v="0"/>
    <n v="0.8"/>
    <n v="4562.3680000000004"/>
    <n v="1140.5919999999996"/>
    <n v="3"/>
    <n v="5702.96"/>
    <x v="1"/>
  </r>
  <r>
    <s v="PAT-3053"/>
    <s v="Joseph Thomas"/>
    <n v="63"/>
    <x v="0"/>
    <x v="41"/>
    <d v="2025-09-12T00:00:00"/>
    <x v="0"/>
    <x v="1"/>
    <n v="18049.650000000001"/>
    <x v="0"/>
    <n v="0.8"/>
    <n v="14439.720000000001"/>
    <n v="3609.9299999999994"/>
    <n v="7"/>
    <n v="18049.650000000001"/>
    <x v="0"/>
  </r>
  <r>
    <s v="PAT-3054"/>
    <s v="Anthony Thomas"/>
    <n v="59"/>
    <x v="0"/>
    <x v="51"/>
    <d v="2025-04-10T00:00:00"/>
    <x v="0"/>
    <x v="0"/>
    <n v="16488.400000000001"/>
    <x v="0"/>
    <n v="0.8"/>
    <n v="13190.720000000001"/>
    <n v="3297.6799999999994"/>
    <n v="6"/>
    <n v="16488.400000000001"/>
    <x v="0"/>
  </r>
  <r>
    <s v="PAT-3055"/>
    <s v="Donna Clark"/>
    <n v="64"/>
    <x v="1"/>
    <x v="52"/>
    <d v="2025-01-13T00:00:00"/>
    <x v="5"/>
    <x v="28"/>
    <n v="18217.14"/>
    <x v="2"/>
    <n v="0.5"/>
    <n v="9108.57"/>
    <n v="9108.57"/>
    <n v="8"/>
    <n v="0"/>
    <x v="0"/>
  </r>
  <r>
    <s v="PAT-3056"/>
    <s v="Andrew Jones"/>
    <n v="60"/>
    <x v="0"/>
    <x v="53"/>
    <d v="2024-11-23T00:00:00"/>
    <x v="4"/>
    <x v="13"/>
    <n v="16175.09"/>
    <x v="1"/>
    <n v="0.8"/>
    <n v="12940.072"/>
    <n v="3235.0179999999991"/>
    <n v="11"/>
    <n v="0"/>
    <x v="0"/>
  </r>
  <r>
    <s v="PAT-3057"/>
    <s v="Jennifer Martinez"/>
    <n v="77"/>
    <x v="1"/>
    <x v="54"/>
    <d v="2024-03-29T00:00:00"/>
    <x v="0"/>
    <x v="0"/>
    <n v="12858.55"/>
    <x v="1"/>
    <n v="0.8"/>
    <n v="10286.84"/>
    <n v="2571.7099999999991"/>
    <n v="8"/>
    <n v="0"/>
    <x v="1"/>
  </r>
  <r>
    <s v="PAT-3058"/>
    <s v="Mark Lewis"/>
    <n v="29"/>
    <x v="0"/>
    <x v="55"/>
    <d v="2025-05-19T00:00:00"/>
    <x v="4"/>
    <x v="13"/>
    <n v="14617.11"/>
    <x v="2"/>
    <n v="0"/>
    <n v="0"/>
    <n v="14617.11"/>
    <n v="14"/>
    <n v="0"/>
    <x v="2"/>
  </r>
  <r>
    <s v="PAT-3059"/>
    <s v="Mark Miller"/>
    <n v="77"/>
    <x v="0"/>
    <x v="6"/>
    <d v="2024-02-16T00:00:00"/>
    <x v="0"/>
    <x v="29"/>
    <n v="8848.16"/>
    <x v="0"/>
    <n v="0.9"/>
    <n v="7963.3440000000001"/>
    <n v="884.8159999999998"/>
    <n v="7"/>
    <n v="8848.16"/>
    <x v="1"/>
  </r>
  <r>
    <s v="PAT-3060"/>
    <s v="Steven Garcia"/>
    <n v="38"/>
    <x v="0"/>
    <x v="56"/>
    <d v="2024-05-25T00:00:00"/>
    <x v="1"/>
    <x v="15"/>
    <n v="4529.29"/>
    <x v="2"/>
    <n v="0.6"/>
    <n v="2717.5740000000001"/>
    <n v="1811.7160000000001"/>
    <n v="2"/>
    <n v="0"/>
    <x v="3"/>
  </r>
  <r>
    <s v="PAT-3061"/>
    <s v="Jessica Thomas"/>
    <n v="43"/>
    <x v="1"/>
    <x v="53"/>
    <d v="2024-11-14T00:00:00"/>
    <x v="2"/>
    <x v="10"/>
    <n v="1655.08"/>
    <x v="0"/>
    <n v="0.8"/>
    <n v="1324.0640000000001"/>
    <n v="331.01599999999991"/>
    <n v="2"/>
    <n v="1655.08"/>
    <x v="3"/>
  </r>
  <r>
    <s v="PAT-3062"/>
    <s v="Joshua Lee"/>
    <n v="16"/>
    <x v="0"/>
    <x v="57"/>
    <d v="2025-04-30T00:00:00"/>
    <x v="3"/>
    <x v="23"/>
    <n v="1165.3699999999999"/>
    <x v="1"/>
    <n v="0.8"/>
    <n v="932.29599999999994"/>
    <n v="233.07399999999993"/>
    <n v="1"/>
    <n v="0"/>
    <x v="4"/>
  </r>
  <r>
    <s v="PAT-3063"/>
    <s v="Linda Lopez"/>
    <n v="47"/>
    <x v="1"/>
    <x v="58"/>
    <d v="2025-04-28T00:00:00"/>
    <x v="0"/>
    <x v="29"/>
    <n v="5020.34"/>
    <x v="0"/>
    <n v="0.8"/>
    <n v="4016.2720000000004"/>
    <n v="1004.0679999999998"/>
    <n v="4"/>
    <n v="5020.34"/>
    <x v="3"/>
  </r>
  <r>
    <s v="PAT-3064"/>
    <s v="Jennifer Jackson"/>
    <n v="5"/>
    <x v="1"/>
    <x v="59"/>
    <d v="2024-04-26T00:00:00"/>
    <x v="3"/>
    <x v="24"/>
    <n v="4344.45"/>
    <x v="0"/>
    <n v="1"/>
    <n v="4344.45"/>
    <n v="0"/>
    <n v="3"/>
    <n v="4344.45"/>
    <x v="4"/>
  </r>
  <r>
    <s v="PAT-3065"/>
    <s v="Betty Garcia"/>
    <n v="40"/>
    <x v="1"/>
    <x v="60"/>
    <d v="2025-10-21T00:00:00"/>
    <x v="0"/>
    <x v="29"/>
    <n v="11900.88"/>
    <x v="1"/>
    <n v="0.8"/>
    <n v="9520.7039999999997"/>
    <n v="2380.1759999999995"/>
    <n v="9"/>
    <n v="0"/>
    <x v="3"/>
  </r>
  <r>
    <s v="PAT-3066"/>
    <s v="Kenneth Wilson"/>
    <n v="67"/>
    <x v="0"/>
    <x v="61"/>
    <d v="2025-02-02T00:00:00"/>
    <x v="5"/>
    <x v="17"/>
    <n v="12380.25"/>
    <x v="0"/>
    <n v="0.8"/>
    <n v="9904.2000000000007"/>
    <n v="2476.0499999999993"/>
    <n v="9"/>
    <n v="12380.25"/>
    <x v="1"/>
  </r>
  <r>
    <s v="PAT-3067"/>
    <s v="Daniel Anderson"/>
    <n v="63"/>
    <x v="0"/>
    <x v="62"/>
    <d v="2025-11-29T00:00:00"/>
    <x v="0"/>
    <x v="20"/>
    <n v="9509.74"/>
    <x v="0"/>
    <n v="0.9"/>
    <n v="8558.7659999999996"/>
    <n v="950.97399999999982"/>
    <n v="4"/>
    <n v="9509.74"/>
    <x v="0"/>
  </r>
  <r>
    <s v="PAT-3068"/>
    <s v="Jessica Young"/>
    <n v="60"/>
    <x v="1"/>
    <x v="63"/>
    <d v="2025-03-19T00:00:00"/>
    <x v="5"/>
    <x v="28"/>
    <n v="6803.88"/>
    <x v="0"/>
    <n v="0.8"/>
    <n v="5443.1040000000003"/>
    <n v="1360.7759999999996"/>
    <n v="4"/>
    <n v="6803.88"/>
    <x v="0"/>
  </r>
  <r>
    <s v="PAT-3069"/>
    <s v="Michelle Lee"/>
    <n v="67"/>
    <x v="1"/>
    <x v="64"/>
    <d v="2024-06-04T00:00:00"/>
    <x v="4"/>
    <x v="13"/>
    <n v="23530.58"/>
    <x v="2"/>
    <n v="0.8"/>
    <n v="18824.464000000004"/>
    <n v="4706.1159999999991"/>
    <n v="11"/>
    <n v="0"/>
    <x v="1"/>
  </r>
  <r>
    <s v="PAT-3070"/>
    <s v="Joseph Johnson"/>
    <n v="83"/>
    <x v="0"/>
    <x v="65"/>
    <d v="2025-04-06T00:00:00"/>
    <x v="1"/>
    <x v="7"/>
    <n v="1108.28"/>
    <x v="0"/>
    <n v="0.5"/>
    <n v="554.14"/>
    <n v="554.14"/>
    <n v="1"/>
    <n v="1108.28"/>
    <x v="1"/>
  </r>
  <r>
    <s v="PAT-3071"/>
    <s v="Paul White"/>
    <n v="69"/>
    <x v="0"/>
    <x v="66"/>
    <d v="2025-12-29T00:00:00"/>
    <x v="0"/>
    <x v="6"/>
    <n v="15858.97"/>
    <x v="0"/>
    <n v="0.8"/>
    <n v="12687.175999999999"/>
    <n v="3171.793999999999"/>
    <n v="7"/>
    <n v="15858.97"/>
    <x v="1"/>
  </r>
  <r>
    <s v="PAT-3072"/>
    <s v="Andrew Young"/>
    <n v="66"/>
    <x v="0"/>
    <x v="67"/>
    <d v="2025-02-02T00:00:00"/>
    <x v="4"/>
    <x v="18"/>
    <n v="24022.14"/>
    <x v="2"/>
    <n v="0.8"/>
    <n v="19217.712"/>
    <n v="4804.427999999999"/>
    <n v="14"/>
    <n v="0"/>
    <x v="1"/>
  </r>
  <r>
    <s v="PAT-3073"/>
    <s v="Michelle Wilson"/>
    <n v="29"/>
    <x v="1"/>
    <x v="68"/>
    <d v="2024-11-02T00:00:00"/>
    <x v="4"/>
    <x v="18"/>
    <n v="13601.98"/>
    <x v="1"/>
    <n v="0.8"/>
    <n v="10881.584000000001"/>
    <n v="2720.3959999999993"/>
    <n v="12"/>
    <n v="0"/>
    <x v="2"/>
  </r>
  <r>
    <s v="PAT-3074"/>
    <s v="Kenneth White"/>
    <n v="48"/>
    <x v="0"/>
    <x v="59"/>
    <d v="2024-05-02T00:00:00"/>
    <x v="5"/>
    <x v="30"/>
    <n v="11054.91"/>
    <x v="0"/>
    <n v="0.8"/>
    <n v="8843.9279999999999"/>
    <n v="2210.9819999999995"/>
    <n v="9"/>
    <n v="11054.91"/>
    <x v="3"/>
  </r>
  <r>
    <s v="PAT-3075"/>
    <s v="Matthew Clark"/>
    <n v="71"/>
    <x v="0"/>
    <x v="62"/>
    <d v="2025-11-28T00:00:00"/>
    <x v="1"/>
    <x v="2"/>
    <n v="4292.29"/>
    <x v="0"/>
    <n v="0.7"/>
    <n v="3004.6029999999996"/>
    <n v="1287.6870000000001"/>
    <n v="3"/>
    <n v="4292.29"/>
    <x v="1"/>
  </r>
  <r>
    <s v="PAT-3076"/>
    <s v="Elizabeth Lewis"/>
    <n v="58"/>
    <x v="1"/>
    <x v="69"/>
    <d v="2025-11-17T00:00:00"/>
    <x v="0"/>
    <x v="29"/>
    <n v="15148.04"/>
    <x v="0"/>
    <n v="1"/>
    <n v="15148.04"/>
    <n v="0"/>
    <n v="9"/>
    <n v="15148.04"/>
    <x v="0"/>
  </r>
  <r>
    <s v="PAT-3077"/>
    <s v="Mary Thomas"/>
    <n v="31"/>
    <x v="1"/>
    <x v="70"/>
    <d v="2025-04-08T00:00:00"/>
    <x v="5"/>
    <x v="28"/>
    <n v="12486.34"/>
    <x v="1"/>
    <n v="0.6"/>
    <n v="7491.8040000000001"/>
    <n v="4994.5360000000001"/>
    <n v="7"/>
    <n v="0"/>
    <x v="2"/>
  </r>
  <r>
    <s v="PAT-3078"/>
    <s v="Elizabeth Rodriguez"/>
    <n v="6"/>
    <x v="1"/>
    <x v="62"/>
    <d v="2025-11-30T00:00:00"/>
    <x v="3"/>
    <x v="24"/>
    <n v="6755.47"/>
    <x v="0"/>
    <n v="0.9"/>
    <n v="6079.9230000000007"/>
    <n v="675.54699999999991"/>
    <n v="5"/>
    <n v="6755.47"/>
    <x v="4"/>
  </r>
  <r>
    <s v="PAT-3079"/>
    <s v="Michelle Perez"/>
    <n v="54"/>
    <x v="1"/>
    <x v="71"/>
    <d v="2025-09-05T00:00:00"/>
    <x v="1"/>
    <x v="31"/>
    <n v="2919.13"/>
    <x v="0"/>
    <n v="1"/>
    <n v="2919.13"/>
    <n v="0"/>
    <n v="2"/>
    <n v="2919.13"/>
    <x v="0"/>
  </r>
  <r>
    <s v="PAT-3080"/>
    <s v="Betty Walker"/>
    <n v="40"/>
    <x v="1"/>
    <x v="72"/>
    <d v="2025-07-19T00:00:00"/>
    <x v="4"/>
    <x v="13"/>
    <n v="30241.53"/>
    <x v="0"/>
    <n v="1"/>
    <n v="30241.53"/>
    <n v="0"/>
    <n v="14"/>
    <n v="30241.53"/>
    <x v="3"/>
  </r>
  <r>
    <s v="PAT-3081"/>
    <s v="Sarah Jackson"/>
    <n v="70"/>
    <x v="1"/>
    <x v="73"/>
    <d v="2024-07-17T00:00:00"/>
    <x v="0"/>
    <x v="20"/>
    <n v="12489.15"/>
    <x v="1"/>
    <n v="0"/>
    <n v="0"/>
    <n v="12489.15"/>
    <n v="7"/>
    <n v="0"/>
    <x v="1"/>
  </r>
  <r>
    <s v="PAT-3082"/>
    <s v="Jessica Thompson"/>
    <n v="34"/>
    <x v="1"/>
    <x v="74"/>
    <d v="2024-02-07T00:00:00"/>
    <x v="4"/>
    <x v="26"/>
    <n v="12813.71"/>
    <x v="0"/>
    <n v="0.7"/>
    <n v="8969.5969999999979"/>
    <n v="3844.1130000000003"/>
    <n v="6"/>
    <n v="12813.71"/>
    <x v="2"/>
  </r>
  <r>
    <s v="PAT-3083"/>
    <s v="Elizabeth Perez"/>
    <n v="62"/>
    <x v="1"/>
    <x v="75"/>
    <d v="2024-05-01T00:00:00"/>
    <x v="4"/>
    <x v="26"/>
    <n v="13205.04"/>
    <x v="0"/>
    <n v="0.7"/>
    <n v="9243.5280000000002"/>
    <n v="3961.5120000000006"/>
    <n v="5"/>
    <n v="13205.04"/>
    <x v="0"/>
  </r>
  <r>
    <s v="PAT-3084"/>
    <s v="Paul Harris"/>
    <n v="83"/>
    <x v="0"/>
    <x v="66"/>
    <d v="2025-12-29T00:00:00"/>
    <x v="2"/>
    <x v="4"/>
    <n v="3620.28"/>
    <x v="0"/>
    <n v="0.8"/>
    <n v="2896.2240000000002"/>
    <n v="724.05599999999993"/>
    <n v="7"/>
    <n v="3620.28"/>
    <x v="1"/>
  </r>
  <r>
    <s v="PAT-3085"/>
    <s v="Jessica White"/>
    <n v="76"/>
    <x v="1"/>
    <x v="13"/>
    <d v="2024-08-27T00:00:00"/>
    <x v="2"/>
    <x v="8"/>
    <n v="7803.54"/>
    <x v="1"/>
    <n v="0.7"/>
    <n v="5462.4780000000001"/>
    <n v="2341.0620000000004"/>
    <n v="7"/>
    <n v="0"/>
    <x v="1"/>
  </r>
  <r>
    <s v="PAT-3086"/>
    <s v="Betty Moore"/>
    <n v="50"/>
    <x v="1"/>
    <x v="76"/>
    <d v="2025-01-10T00:00:00"/>
    <x v="5"/>
    <x v="12"/>
    <n v="12412.35"/>
    <x v="2"/>
    <n v="0.9"/>
    <n v="11171.115"/>
    <n v="1241.2349999999997"/>
    <n v="8"/>
    <n v="0"/>
    <x v="3"/>
  </r>
  <r>
    <s v="PAT-3087"/>
    <s v="Ashley Smith"/>
    <n v="39"/>
    <x v="1"/>
    <x v="77"/>
    <d v="2025-11-30T00:00:00"/>
    <x v="1"/>
    <x v="32"/>
    <n v="2598.06"/>
    <x v="0"/>
    <n v="0.8"/>
    <n v="2078.4479999999999"/>
    <n v="519.61199999999985"/>
    <n v="2"/>
    <n v="2598.06"/>
    <x v="3"/>
  </r>
  <r>
    <s v="PAT-3088"/>
    <s v="Mark Moore"/>
    <n v="68"/>
    <x v="0"/>
    <x v="78"/>
    <d v="2025-03-11T00:00:00"/>
    <x v="2"/>
    <x v="21"/>
    <n v="9165.89"/>
    <x v="0"/>
    <n v="0.7"/>
    <n v="6416.1229999999996"/>
    <n v="2749.7670000000003"/>
    <n v="7"/>
    <n v="9165.89"/>
    <x v="1"/>
  </r>
  <r>
    <s v="PAT-3089"/>
    <s v="Carol Hernandez"/>
    <n v="55"/>
    <x v="1"/>
    <x v="9"/>
    <d v="2025-08-07T00:00:00"/>
    <x v="1"/>
    <x v="2"/>
    <n v="2783.91"/>
    <x v="0"/>
    <n v="0.7"/>
    <n v="1948.7369999999999"/>
    <n v="835.17300000000012"/>
    <n v="2"/>
    <n v="2783.91"/>
    <x v="0"/>
  </r>
  <r>
    <s v="PAT-3090"/>
    <s v="Barbara Taylor"/>
    <n v="71"/>
    <x v="1"/>
    <x v="79"/>
    <d v="2025-01-31T00:00:00"/>
    <x v="0"/>
    <x v="1"/>
    <n v="23939.75"/>
    <x v="0"/>
    <n v="0.6"/>
    <n v="14363.85"/>
    <n v="9575.9"/>
    <n v="9"/>
    <n v="23939.75"/>
    <x v="1"/>
  </r>
  <r>
    <s v="PAT-3091"/>
    <s v="Lisa Brown"/>
    <n v="55"/>
    <x v="1"/>
    <x v="80"/>
    <d v="2025-05-09T00:00:00"/>
    <x v="5"/>
    <x v="28"/>
    <n v="19244.54"/>
    <x v="0"/>
    <n v="0.8"/>
    <n v="15395.632000000001"/>
    <n v="3848.9079999999994"/>
    <n v="8"/>
    <n v="19244.54"/>
    <x v="0"/>
  </r>
  <r>
    <s v="PAT-3092"/>
    <s v="Barbara Walker"/>
    <n v="60"/>
    <x v="1"/>
    <x v="43"/>
    <d v="2024-07-26T00:00:00"/>
    <x v="0"/>
    <x v="0"/>
    <n v="17194.91"/>
    <x v="0"/>
    <n v="0.9"/>
    <n v="15475.419"/>
    <n v="1719.4909999999995"/>
    <n v="9"/>
    <n v="17194.91"/>
    <x v="0"/>
  </r>
  <r>
    <s v="PAT-3093"/>
    <s v="Thomas Hernandez"/>
    <n v="62"/>
    <x v="0"/>
    <x v="81"/>
    <d v="2024-08-29T00:00:00"/>
    <x v="2"/>
    <x v="33"/>
    <n v="3707.77"/>
    <x v="0"/>
    <n v="0.8"/>
    <n v="2966.2160000000003"/>
    <n v="741.55399999999986"/>
    <n v="3"/>
    <n v="3707.77"/>
    <x v="0"/>
  </r>
  <r>
    <s v="PAT-3094"/>
    <s v="Sarah Young"/>
    <n v="62"/>
    <x v="1"/>
    <x v="82"/>
    <d v="2025-09-01T00:00:00"/>
    <x v="5"/>
    <x v="34"/>
    <n v="11445.42"/>
    <x v="1"/>
    <n v="0.8"/>
    <n v="9156.3360000000011"/>
    <n v="2289.0839999999994"/>
    <n v="6"/>
    <n v="0"/>
    <x v="0"/>
  </r>
  <r>
    <s v="PAT-3095"/>
    <s v="David Anderson"/>
    <n v="52"/>
    <x v="0"/>
    <x v="83"/>
    <d v="2025-04-30T00:00:00"/>
    <x v="2"/>
    <x v="4"/>
    <n v="1587.61"/>
    <x v="1"/>
    <n v="0.9"/>
    <n v="1428.8489999999999"/>
    <n v="158.76099999999997"/>
    <n v="2"/>
    <n v="0"/>
    <x v="0"/>
  </r>
  <r>
    <s v="PAT-3096"/>
    <s v="Mark Thompson"/>
    <n v="32"/>
    <x v="0"/>
    <x v="84"/>
    <d v="2024-10-26T00:00:00"/>
    <x v="1"/>
    <x v="15"/>
    <n v="4946.29"/>
    <x v="0"/>
    <n v="0.8"/>
    <n v="3957.0320000000002"/>
    <n v="989.25799999999981"/>
    <n v="2"/>
    <n v="4946.29"/>
    <x v="2"/>
  </r>
  <r>
    <s v="PAT-3097"/>
    <s v="Daniel Garcia"/>
    <n v="15"/>
    <x v="0"/>
    <x v="85"/>
    <d v="2024-11-01T00:00:00"/>
    <x v="3"/>
    <x v="24"/>
    <n v="3757.58"/>
    <x v="0"/>
    <n v="0.8"/>
    <n v="3006.0640000000003"/>
    <n v="751.51599999999985"/>
    <n v="3"/>
    <n v="3757.58"/>
    <x v="4"/>
  </r>
  <r>
    <s v="PAT-3098"/>
    <s v="Michael Ramirez"/>
    <n v="61"/>
    <x v="0"/>
    <x v="86"/>
    <d v="2025-04-23T00:00:00"/>
    <x v="0"/>
    <x v="20"/>
    <n v="10173.43"/>
    <x v="2"/>
    <n v="0.7"/>
    <n v="7121.4009999999998"/>
    <n v="3052.0290000000005"/>
    <n v="5"/>
    <n v="0"/>
    <x v="0"/>
  </r>
  <r>
    <s v="PAT-3099"/>
    <s v="Linda Robinson"/>
    <n v="1"/>
    <x v="1"/>
    <x v="87"/>
    <d v="2024-12-25T00:00:00"/>
    <x v="3"/>
    <x v="24"/>
    <n v="4626.03"/>
    <x v="1"/>
    <n v="0.5"/>
    <n v="2313.0149999999999"/>
    <n v="2313.0149999999999"/>
    <n v="5"/>
    <n v="0"/>
    <x v="4"/>
  </r>
  <r>
    <s v="PAT-3100"/>
    <s v="Jennifer Martinez"/>
    <n v="28"/>
    <x v="1"/>
    <x v="88"/>
    <d v="2024-11-19T00:00:00"/>
    <x v="2"/>
    <x v="16"/>
    <n v="3159.6"/>
    <x v="0"/>
    <n v="0.8"/>
    <n v="2527.6800000000003"/>
    <n v="631.91999999999985"/>
    <n v="3"/>
    <n v="3159.6"/>
    <x v="2"/>
  </r>
  <r>
    <s v="PAT-3101"/>
    <s v="Matthew Williams"/>
    <n v="78"/>
    <x v="0"/>
    <x v="89"/>
    <d v="2024-02-07T00:00:00"/>
    <x v="1"/>
    <x v="7"/>
    <n v="6630.7"/>
    <x v="0"/>
    <n v="0.9"/>
    <n v="5967.63"/>
    <n v="663.06999999999982"/>
    <n v="3"/>
    <n v="6630.7"/>
    <x v="1"/>
  </r>
  <r>
    <s v="PAT-3102"/>
    <s v="Paul Robinson"/>
    <n v="51"/>
    <x v="0"/>
    <x v="90"/>
    <d v="2024-04-19T00:00:00"/>
    <x v="5"/>
    <x v="12"/>
    <n v="17220.650000000001"/>
    <x v="2"/>
    <n v="0.7"/>
    <n v="12054.455"/>
    <n v="5166.1950000000015"/>
    <n v="9"/>
    <n v="0"/>
    <x v="0"/>
  </r>
  <r>
    <s v="PAT-3103"/>
    <s v="David Walker"/>
    <n v="70"/>
    <x v="0"/>
    <x v="91"/>
    <d v="2024-03-01T00:00:00"/>
    <x v="4"/>
    <x v="18"/>
    <n v="13557.6"/>
    <x v="0"/>
    <n v="0.9"/>
    <n v="12201.84"/>
    <n v="1355.7599999999998"/>
    <n v="5"/>
    <n v="13557.6"/>
    <x v="1"/>
  </r>
  <r>
    <s v="PAT-3104"/>
    <s v="Daniel White"/>
    <n v="51"/>
    <x v="0"/>
    <x v="92"/>
    <d v="2025-04-13T00:00:00"/>
    <x v="2"/>
    <x v="33"/>
    <n v="1460.86"/>
    <x v="2"/>
    <n v="0.7"/>
    <n v="1022.6019999999999"/>
    <n v="438.25800000000004"/>
    <n v="2"/>
    <n v="0"/>
    <x v="0"/>
  </r>
  <r>
    <s v="PAT-3105"/>
    <s v="Daniel Walker"/>
    <n v="57"/>
    <x v="0"/>
    <x v="93"/>
    <d v="2025-01-15T00:00:00"/>
    <x v="5"/>
    <x v="34"/>
    <n v="5152.58"/>
    <x v="0"/>
    <n v="0"/>
    <n v="0"/>
    <n v="5152.58"/>
    <n v="3"/>
    <n v="5152.58"/>
    <x v="0"/>
  </r>
  <r>
    <s v="PAT-3106"/>
    <s v="Lisa Anderson"/>
    <n v="37"/>
    <x v="1"/>
    <x v="94"/>
    <d v="2025-07-28T00:00:00"/>
    <x v="1"/>
    <x v="3"/>
    <n v="954.61"/>
    <x v="0"/>
    <n v="0.9"/>
    <n v="859.149"/>
    <n v="95.460999999999984"/>
    <n v="1"/>
    <n v="954.61"/>
    <x v="3"/>
  </r>
  <r>
    <s v="PAT-3107"/>
    <s v="Steven Clark"/>
    <n v="59"/>
    <x v="0"/>
    <x v="95"/>
    <d v="2025-02-21T00:00:00"/>
    <x v="0"/>
    <x v="20"/>
    <n v="11951.45"/>
    <x v="0"/>
    <n v="1"/>
    <n v="11951.45"/>
    <n v="0"/>
    <n v="6"/>
    <n v="11951.45"/>
    <x v="0"/>
  </r>
  <r>
    <s v="PAT-3108"/>
    <s v="Daniel Anderson"/>
    <n v="2"/>
    <x v="0"/>
    <x v="96"/>
    <d v="2024-04-11T00:00:00"/>
    <x v="3"/>
    <x v="24"/>
    <n v="3169.16"/>
    <x v="1"/>
    <n v="0.6"/>
    <n v="1901.4959999999999"/>
    <n v="1267.664"/>
    <n v="2"/>
    <n v="0"/>
    <x v="4"/>
  </r>
  <r>
    <s v="PAT-3109"/>
    <s v="William Brown"/>
    <n v="55"/>
    <x v="0"/>
    <x v="97"/>
    <d v="2025-05-08T00:00:00"/>
    <x v="2"/>
    <x v="16"/>
    <n v="1178.75"/>
    <x v="0"/>
    <n v="0.7"/>
    <n v="825.125"/>
    <n v="353.62500000000006"/>
    <n v="1"/>
    <n v="1178.75"/>
    <x v="0"/>
  </r>
  <r>
    <s v="PAT-3110"/>
    <s v="Christopher Davis"/>
    <n v="69"/>
    <x v="0"/>
    <x v="98"/>
    <d v="2024-04-23T00:00:00"/>
    <x v="1"/>
    <x v="2"/>
    <n v="4895.09"/>
    <x v="2"/>
    <n v="0.5"/>
    <n v="2447.5450000000001"/>
    <n v="2447.5450000000001"/>
    <n v="3"/>
    <n v="0"/>
    <x v="1"/>
  </r>
  <r>
    <s v="PAT-3111"/>
    <s v="Joseph Williams"/>
    <n v="2"/>
    <x v="0"/>
    <x v="99"/>
    <d v="2024-10-16T00:00:00"/>
    <x v="3"/>
    <x v="22"/>
    <n v="819.61"/>
    <x v="0"/>
    <n v="0.8"/>
    <n v="655.6880000000001"/>
    <n v="163.92199999999997"/>
    <n v="1"/>
    <n v="819.61"/>
    <x v="4"/>
  </r>
  <r>
    <s v="PAT-3112"/>
    <s v="Sandra Jackson"/>
    <n v="40"/>
    <x v="1"/>
    <x v="100"/>
    <d v="2024-12-06T00:00:00"/>
    <x v="1"/>
    <x v="2"/>
    <n v="2899.4"/>
    <x v="1"/>
    <n v="0.7"/>
    <n v="2029.58"/>
    <n v="869.82000000000016"/>
    <n v="2"/>
    <n v="0"/>
    <x v="3"/>
  </r>
  <r>
    <s v="PAT-3113"/>
    <s v="Sandra Moore"/>
    <n v="4"/>
    <x v="1"/>
    <x v="101"/>
    <d v="2024-01-07T00:00:00"/>
    <x v="3"/>
    <x v="24"/>
    <n v="2638.05"/>
    <x v="1"/>
    <n v="0.9"/>
    <n v="2374.2450000000003"/>
    <n v="263.80499999999995"/>
    <n v="2"/>
    <n v="0"/>
    <x v="4"/>
  </r>
  <r>
    <s v="PAT-3114"/>
    <s v="Karen Anderson"/>
    <n v="19"/>
    <x v="1"/>
    <x v="102"/>
    <d v="2024-05-11T00:00:00"/>
    <x v="1"/>
    <x v="3"/>
    <n v="6176.26"/>
    <x v="1"/>
    <n v="0.7"/>
    <n v="4323.3819999999996"/>
    <n v="1852.8780000000004"/>
    <n v="3"/>
    <n v="0"/>
    <x v="2"/>
  </r>
  <r>
    <s v="PAT-3115"/>
    <s v="Paul Lopez"/>
    <n v="29"/>
    <x v="0"/>
    <x v="103"/>
    <d v="2025-09-15T00:00:00"/>
    <x v="4"/>
    <x v="27"/>
    <n v="4035.23"/>
    <x v="0"/>
    <n v="0.8"/>
    <n v="3228.1840000000002"/>
    <n v="807.04599999999982"/>
    <n v="3"/>
    <n v="4035.23"/>
    <x v="2"/>
  </r>
  <r>
    <s v="PAT-3116"/>
    <s v="Lisa Johnson"/>
    <n v="36"/>
    <x v="1"/>
    <x v="104"/>
    <d v="2024-03-28T00:00:00"/>
    <x v="2"/>
    <x v="16"/>
    <n v="1068.76"/>
    <x v="0"/>
    <n v="0.8"/>
    <n v="855.00800000000004"/>
    <n v="213.75199999999995"/>
    <n v="2"/>
    <n v="1068.76"/>
    <x v="3"/>
  </r>
  <r>
    <s v="PAT-3117"/>
    <s v="Kenneth Garcia"/>
    <n v="45"/>
    <x v="0"/>
    <x v="105"/>
    <d v="2024-06-20T00:00:00"/>
    <x v="1"/>
    <x v="32"/>
    <n v="2606.79"/>
    <x v="1"/>
    <n v="0.7"/>
    <n v="1824.7529999999999"/>
    <n v="782.03700000000015"/>
    <n v="3"/>
    <n v="0"/>
    <x v="3"/>
  </r>
  <r>
    <s v="PAT-3118"/>
    <s v="Emily Williams"/>
    <n v="2"/>
    <x v="1"/>
    <x v="106"/>
    <d v="2025-06-15T00:00:00"/>
    <x v="3"/>
    <x v="9"/>
    <n v="2856.34"/>
    <x v="1"/>
    <n v="1"/>
    <n v="2856.34"/>
    <n v="0"/>
    <n v="2"/>
    <n v="0"/>
    <x v="4"/>
  </r>
  <r>
    <s v="PAT-3119"/>
    <s v="Sandra Young"/>
    <n v="48"/>
    <x v="1"/>
    <x v="107"/>
    <d v="2024-07-13T00:00:00"/>
    <x v="4"/>
    <x v="18"/>
    <n v="13136.54"/>
    <x v="1"/>
    <n v="1"/>
    <n v="13136.54"/>
    <n v="0"/>
    <n v="8"/>
    <n v="0"/>
    <x v="3"/>
  </r>
  <r>
    <s v="PAT-3120"/>
    <s v="Robert Moore"/>
    <n v="32"/>
    <x v="0"/>
    <x v="108"/>
    <d v="2025-09-15T00:00:00"/>
    <x v="4"/>
    <x v="14"/>
    <n v="10441.879999999999"/>
    <x v="1"/>
    <n v="0.7"/>
    <n v="7309.3159999999989"/>
    <n v="3132.5640000000003"/>
    <n v="6"/>
    <n v="0"/>
    <x v="2"/>
  </r>
  <r>
    <s v="PAT-3121"/>
    <s v="Kenneth Perez"/>
    <n v="39"/>
    <x v="0"/>
    <x v="109"/>
    <d v="2024-09-01T00:00:00"/>
    <x v="2"/>
    <x v="4"/>
    <n v="8804.17"/>
    <x v="1"/>
    <n v="0.7"/>
    <n v="6162.9189999999999"/>
    <n v="2641.2510000000002"/>
    <n v="7"/>
    <n v="0"/>
    <x v="3"/>
  </r>
  <r>
    <s v="PAT-3122"/>
    <s v="Kevin Lewis"/>
    <n v="14"/>
    <x v="0"/>
    <x v="110"/>
    <d v="2024-05-26T00:00:00"/>
    <x v="3"/>
    <x v="25"/>
    <n v="8692.2099999999991"/>
    <x v="1"/>
    <n v="0.8"/>
    <n v="6953.768"/>
    <n v="1738.4419999999996"/>
    <n v="5"/>
    <n v="0"/>
    <x v="4"/>
  </r>
  <r>
    <s v="PAT-3123"/>
    <s v="Christopher Lewis"/>
    <n v="77"/>
    <x v="0"/>
    <x v="111"/>
    <d v="2024-11-10T00:00:00"/>
    <x v="0"/>
    <x v="0"/>
    <n v="8942.35"/>
    <x v="0"/>
    <n v="0"/>
    <n v="0"/>
    <n v="8942.35"/>
    <n v="5"/>
    <n v="8942.35"/>
    <x v="1"/>
  </r>
  <r>
    <s v="PAT-3124"/>
    <s v="Kenneth Williams"/>
    <n v="59"/>
    <x v="0"/>
    <x v="112"/>
    <d v="2025-05-19T00:00:00"/>
    <x v="5"/>
    <x v="35"/>
    <n v="17584.490000000002"/>
    <x v="2"/>
    <n v="1"/>
    <n v="17584.490000000002"/>
    <n v="0"/>
    <n v="10"/>
    <n v="0"/>
    <x v="0"/>
  </r>
  <r>
    <s v="PAT-3125"/>
    <s v="Betty Walker"/>
    <n v="84"/>
    <x v="1"/>
    <x v="113"/>
    <d v="2024-04-18T00:00:00"/>
    <x v="1"/>
    <x v="31"/>
    <n v="1921.25"/>
    <x v="2"/>
    <n v="0.5"/>
    <n v="960.625"/>
    <n v="960.625"/>
    <n v="1"/>
    <n v="0"/>
    <x v="1"/>
  </r>
  <r>
    <s v="PAT-3126"/>
    <s v="Linda Walker"/>
    <n v="41"/>
    <x v="1"/>
    <x v="114"/>
    <d v="2024-08-14T00:00:00"/>
    <x v="5"/>
    <x v="35"/>
    <n v="6966.69"/>
    <x v="1"/>
    <n v="0.7"/>
    <n v="4876.6829999999991"/>
    <n v="2090.0070000000001"/>
    <n v="3"/>
    <n v="0"/>
    <x v="3"/>
  </r>
  <r>
    <s v="PAT-3127"/>
    <s v="Sarah Davis"/>
    <n v="4"/>
    <x v="1"/>
    <x v="115"/>
    <d v="2024-04-12T00:00:00"/>
    <x v="3"/>
    <x v="25"/>
    <n v="5715.35"/>
    <x v="0"/>
    <n v="0.7"/>
    <n v="4000.7449999999999"/>
    <n v="1714.6050000000005"/>
    <n v="4"/>
    <n v="5715.35"/>
    <x v="4"/>
  </r>
  <r>
    <s v="PAT-3128"/>
    <s v="Jennifer Clark"/>
    <n v="48"/>
    <x v="1"/>
    <x v="116"/>
    <d v="2025-10-09T00:00:00"/>
    <x v="1"/>
    <x v="31"/>
    <n v="4210.91"/>
    <x v="0"/>
    <n v="0.9"/>
    <n v="3789.819"/>
    <n v="421.09099999999989"/>
    <n v="3"/>
    <n v="4210.91"/>
    <x v="3"/>
  </r>
  <r>
    <s v="PAT-3129"/>
    <s v="Sarah Hernandez"/>
    <n v="62"/>
    <x v="1"/>
    <x v="117"/>
    <d v="2024-03-09T00:00:00"/>
    <x v="0"/>
    <x v="1"/>
    <n v="11082.93"/>
    <x v="1"/>
    <n v="0.5"/>
    <n v="5541.4650000000001"/>
    <n v="5541.4650000000001"/>
    <n v="7"/>
    <n v="0"/>
    <x v="0"/>
  </r>
  <r>
    <s v="PAT-3130"/>
    <s v="Elizabeth Garcia"/>
    <n v="31"/>
    <x v="1"/>
    <x v="118"/>
    <d v="2024-12-04T00:00:00"/>
    <x v="2"/>
    <x v="10"/>
    <n v="6234.49"/>
    <x v="1"/>
    <n v="1"/>
    <n v="6234.49"/>
    <n v="0"/>
    <n v="5"/>
    <n v="0"/>
    <x v="2"/>
  </r>
  <r>
    <s v="PAT-3131"/>
    <s v="Karen Moore"/>
    <n v="65"/>
    <x v="1"/>
    <x v="119"/>
    <d v="2025-05-26T00:00:00"/>
    <x v="5"/>
    <x v="35"/>
    <n v="17644.05"/>
    <x v="0"/>
    <n v="0.6"/>
    <n v="10586.429999999998"/>
    <n v="7057.62"/>
    <n v="10"/>
    <n v="17644.05"/>
    <x v="0"/>
  </r>
  <r>
    <s v="PAT-3132"/>
    <s v="James Davis"/>
    <n v="80"/>
    <x v="0"/>
    <x v="120"/>
    <d v="2024-10-31T00:00:00"/>
    <x v="5"/>
    <x v="12"/>
    <n v="11838.97"/>
    <x v="2"/>
    <n v="0.7"/>
    <n v="8287.2789999999986"/>
    <n v="3551.6910000000003"/>
    <n v="9"/>
    <n v="0"/>
    <x v="1"/>
  </r>
  <r>
    <s v="PAT-3133"/>
    <s v="Joshua Martin"/>
    <n v="9"/>
    <x v="0"/>
    <x v="84"/>
    <d v="2024-10-27T00:00:00"/>
    <x v="3"/>
    <x v="24"/>
    <n v="2139.13"/>
    <x v="2"/>
    <n v="0.9"/>
    <n v="1925.2170000000001"/>
    <n v="213.91299999999995"/>
    <n v="3"/>
    <n v="0"/>
    <x v="4"/>
  </r>
  <r>
    <s v="PAT-3134"/>
    <s v="Susan White"/>
    <n v="48"/>
    <x v="1"/>
    <x v="64"/>
    <d v="2024-05-31T00:00:00"/>
    <x v="0"/>
    <x v="6"/>
    <n v="10657.18"/>
    <x v="0"/>
    <n v="1"/>
    <n v="10657.18"/>
    <n v="0"/>
    <n v="7"/>
    <n v="10657.18"/>
    <x v="3"/>
  </r>
  <r>
    <s v="PAT-3135"/>
    <s v="Jessica Harris"/>
    <n v="83"/>
    <x v="1"/>
    <x v="121"/>
    <d v="2025-09-05T00:00:00"/>
    <x v="0"/>
    <x v="29"/>
    <n v="17707.36"/>
    <x v="0"/>
    <n v="0.9"/>
    <n v="15936.624000000002"/>
    <n v="1770.7359999999996"/>
    <n v="6"/>
    <n v="17707.36"/>
    <x v="1"/>
  </r>
  <r>
    <s v="PAT-3136"/>
    <s v="James Brown"/>
    <n v="57"/>
    <x v="0"/>
    <x v="122"/>
    <d v="2024-12-06T00:00:00"/>
    <x v="4"/>
    <x v="18"/>
    <n v="31874.83"/>
    <x v="1"/>
    <n v="0.9"/>
    <n v="28687.347000000002"/>
    <n v="3187.4829999999993"/>
    <n v="13"/>
    <n v="0"/>
    <x v="0"/>
  </r>
  <r>
    <s v="PAT-3137"/>
    <s v="Jessica Lopez"/>
    <n v="50"/>
    <x v="1"/>
    <x v="123"/>
    <d v="2024-06-21T00:00:00"/>
    <x v="2"/>
    <x v="10"/>
    <n v="5681.44"/>
    <x v="0"/>
    <n v="0.7"/>
    <n v="3977.0079999999994"/>
    <n v="1704.4320000000002"/>
    <n v="6"/>
    <n v="5681.44"/>
    <x v="3"/>
  </r>
  <r>
    <s v="PAT-3138"/>
    <s v="Mary Robinson"/>
    <n v="58"/>
    <x v="1"/>
    <x v="124"/>
    <d v="2025-07-10T00:00:00"/>
    <x v="0"/>
    <x v="0"/>
    <n v="17588.68"/>
    <x v="0"/>
    <n v="0.9"/>
    <n v="15829.812"/>
    <n v="1758.8679999999997"/>
    <n v="7"/>
    <n v="17588.68"/>
    <x v="0"/>
  </r>
  <r>
    <s v="PAT-3139"/>
    <s v="Matthew Davis"/>
    <n v="58"/>
    <x v="0"/>
    <x v="125"/>
    <d v="2025-04-04T00:00:00"/>
    <x v="2"/>
    <x v="33"/>
    <n v="1113.6199999999999"/>
    <x v="0"/>
    <n v="0.8"/>
    <n v="890.89599999999996"/>
    <n v="222.72399999999993"/>
    <n v="2"/>
    <n v="1113.6199999999999"/>
    <x v="0"/>
  </r>
  <r>
    <s v="PAT-3140"/>
    <s v="Christopher Wilson"/>
    <n v="60"/>
    <x v="0"/>
    <x v="126"/>
    <d v="2024-06-27T00:00:00"/>
    <x v="2"/>
    <x v="33"/>
    <n v="3222.62"/>
    <x v="1"/>
    <n v="0.9"/>
    <n v="2900.3580000000002"/>
    <n v="322.26199999999994"/>
    <n v="5"/>
    <n v="0"/>
    <x v="0"/>
  </r>
  <r>
    <s v="PAT-3141"/>
    <s v="Karen Williams"/>
    <n v="53"/>
    <x v="1"/>
    <x v="127"/>
    <d v="2024-07-13T00:00:00"/>
    <x v="2"/>
    <x v="4"/>
    <n v="4276.67"/>
    <x v="0"/>
    <n v="0.5"/>
    <n v="2138.335"/>
    <n v="2138.335"/>
    <n v="5"/>
    <n v="4276.67"/>
    <x v="0"/>
  </r>
  <r>
    <s v="PAT-3142"/>
    <s v="Jennifer Smith"/>
    <n v="37"/>
    <x v="1"/>
    <x v="128"/>
    <d v="2025-04-11T00:00:00"/>
    <x v="2"/>
    <x v="10"/>
    <n v="2378.61"/>
    <x v="0"/>
    <n v="0.7"/>
    <n v="1665.027"/>
    <n v="713.5830000000002"/>
    <n v="4"/>
    <n v="2378.61"/>
    <x v="3"/>
  </r>
  <r>
    <s v="PAT-3143"/>
    <s v="Matthew Garcia"/>
    <n v="52"/>
    <x v="0"/>
    <x v="129"/>
    <d v="2024-01-05T00:00:00"/>
    <x v="1"/>
    <x v="36"/>
    <n v="1802.47"/>
    <x v="2"/>
    <n v="0.7"/>
    <n v="1261.729"/>
    <n v="540.7410000000001"/>
    <n v="1"/>
    <n v="0"/>
    <x v="0"/>
  </r>
  <r>
    <s v="PAT-3144"/>
    <s v="Michelle Thomas"/>
    <n v="64"/>
    <x v="1"/>
    <x v="130"/>
    <d v="2024-05-11T00:00:00"/>
    <x v="0"/>
    <x v="29"/>
    <n v="26472.01"/>
    <x v="2"/>
    <n v="0.6"/>
    <n v="15883.205999999998"/>
    <n v="10588.804"/>
    <n v="9"/>
    <n v="0"/>
    <x v="0"/>
  </r>
  <r>
    <s v="PAT-3145"/>
    <s v="Robert Miller"/>
    <n v="31"/>
    <x v="0"/>
    <x v="131"/>
    <d v="2025-08-01T00:00:00"/>
    <x v="5"/>
    <x v="35"/>
    <n v="15209.42"/>
    <x v="1"/>
    <n v="0.8"/>
    <n v="12167.536"/>
    <n v="3041.8839999999996"/>
    <n v="9"/>
    <n v="0"/>
    <x v="2"/>
  </r>
  <r>
    <s v="PAT-3146"/>
    <s v="Lisa Rodriguez"/>
    <n v="54"/>
    <x v="1"/>
    <x v="132"/>
    <d v="2025-07-12T00:00:00"/>
    <x v="2"/>
    <x v="10"/>
    <n v="683.93"/>
    <x v="1"/>
    <n v="0"/>
    <n v="0"/>
    <n v="683.93"/>
    <n v="1"/>
    <n v="0"/>
    <x v="0"/>
  </r>
  <r>
    <s v="PAT-3147"/>
    <s v="Barbara Wilson"/>
    <n v="77"/>
    <x v="1"/>
    <x v="133"/>
    <d v="2024-04-04T00:00:00"/>
    <x v="2"/>
    <x v="16"/>
    <n v="2163.62"/>
    <x v="0"/>
    <n v="0.6"/>
    <n v="1298.1719999999998"/>
    <n v="865.44799999999998"/>
    <n v="4"/>
    <n v="2163.62"/>
    <x v="1"/>
  </r>
  <r>
    <s v="PAT-3148"/>
    <s v="Barbara Jones"/>
    <n v="28"/>
    <x v="1"/>
    <x v="134"/>
    <d v="2025-09-07T00:00:00"/>
    <x v="1"/>
    <x v="15"/>
    <n v="7033.75"/>
    <x v="0"/>
    <n v="0.9"/>
    <n v="6330.375"/>
    <n v="703.37499999999989"/>
    <n v="3"/>
    <n v="7033.75"/>
    <x v="2"/>
  </r>
  <r>
    <s v="PAT-3149"/>
    <s v="Lisa Williams"/>
    <n v="57"/>
    <x v="1"/>
    <x v="135"/>
    <d v="2024-12-26T00:00:00"/>
    <x v="0"/>
    <x v="19"/>
    <n v="9216.99"/>
    <x v="0"/>
    <n v="1"/>
    <n v="9216.99"/>
    <n v="0"/>
    <n v="5"/>
    <n v="9216.99"/>
    <x v="0"/>
  </r>
  <r>
    <s v="PAT-3150"/>
    <s v="Jennifer Young"/>
    <n v="32"/>
    <x v="1"/>
    <x v="80"/>
    <d v="2025-05-03T00:00:00"/>
    <x v="2"/>
    <x v="10"/>
    <n v="1561.35"/>
    <x v="2"/>
    <n v="0.9"/>
    <n v="1405.2149999999999"/>
    <n v="156.13499999999996"/>
    <n v="2"/>
    <n v="0"/>
    <x v="2"/>
  </r>
  <r>
    <s v="PAT-3151"/>
    <s v="Karen Smith"/>
    <n v="41"/>
    <x v="1"/>
    <x v="132"/>
    <d v="2025-07-20T00:00:00"/>
    <x v="0"/>
    <x v="0"/>
    <n v="24856.18"/>
    <x v="0"/>
    <n v="1"/>
    <n v="24856.18"/>
    <n v="0"/>
    <n v="9"/>
    <n v="24856.18"/>
    <x v="3"/>
  </r>
  <r>
    <s v="PAT-3152"/>
    <s v="Mark Smith"/>
    <n v="43"/>
    <x v="0"/>
    <x v="136"/>
    <d v="2025-05-24T00:00:00"/>
    <x v="1"/>
    <x v="15"/>
    <n v="2493.0500000000002"/>
    <x v="0"/>
    <n v="0.9"/>
    <n v="2243.7450000000003"/>
    <n v="249.30499999999995"/>
    <n v="2"/>
    <n v="2493.0500000000002"/>
    <x v="3"/>
  </r>
  <r>
    <s v="PAT-3153"/>
    <s v="Andrew Martinez"/>
    <n v="49"/>
    <x v="0"/>
    <x v="137"/>
    <d v="2024-04-21T00:00:00"/>
    <x v="1"/>
    <x v="7"/>
    <n v="5177.47"/>
    <x v="0"/>
    <n v="0.6"/>
    <n v="3106.482"/>
    <n v="2070.9880000000003"/>
    <n v="3"/>
    <n v="5177.47"/>
    <x v="3"/>
  </r>
  <r>
    <s v="PAT-3154"/>
    <s v="Betty Williams"/>
    <n v="75"/>
    <x v="1"/>
    <x v="138"/>
    <d v="2025-04-06T00:00:00"/>
    <x v="4"/>
    <x v="13"/>
    <n v="12122.8"/>
    <x v="0"/>
    <n v="0.8"/>
    <n v="9698.24"/>
    <n v="2424.5599999999995"/>
    <n v="8"/>
    <n v="12122.8"/>
    <x v="1"/>
  </r>
  <r>
    <s v="PAT-3155"/>
    <s v="Robert Jones"/>
    <n v="48"/>
    <x v="0"/>
    <x v="139"/>
    <d v="2024-09-11T00:00:00"/>
    <x v="5"/>
    <x v="28"/>
    <n v="6625.48"/>
    <x v="2"/>
    <n v="0.6"/>
    <n v="3975.2879999999996"/>
    <n v="2650.192"/>
    <n v="4"/>
    <n v="0"/>
    <x v="3"/>
  </r>
  <r>
    <s v="PAT-3156"/>
    <s v="David Jones"/>
    <n v="72"/>
    <x v="0"/>
    <x v="140"/>
    <d v="2024-08-01T00:00:00"/>
    <x v="4"/>
    <x v="14"/>
    <n v="17423.45"/>
    <x v="2"/>
    <n v="0.7"/>
    <n v="12196.414999999999"/>
    <n v="5227.0350000000008"/>
    <n v="9"/>
    <n v="0"/>
    <x v="1"/>
  </r>
  <r>
    <s v="PAT-3157"/>
    <s v="Richard Ramirez"/>
    <n v="65"/>
    <x v="0"/>
    <x v="141"/>
    <d v="2024-07-05T00:00:00"/>
    <x v="0"/>
    <x v="1"/>
    <n v="13753.53"/>
    <x v="1"/>
    <n v="0.9"/>
    <n v="12378.177000000001"/>
    <n v="1375.3529999999998"/>
    <n v="9"/>
    <n v="0"/>
    <x v="0"/>
  </r>
  <r>
    <s v="PAT-3158"/>
    <s v="Matthew Williams"/>
    <n v="44"/>
    <x v="0"/>
    <x v="142"/>
    <d v="2025-10-06T00:00:00"/>
    <x v="0"/>
    <x v="0"/>
    <n v="18100.37"/>
    <x v="0"/>
    <n v="0.8"/>
    <n v="14480.296"/>
    <n v="3620.0739999999992"/>
    <n v="10"/>
    <n v="18100.37"/>
    <x v="3"/>
  </r>
  <r>
    <s v="PAT-3159"/>
    <s v="Linda Brown"/>
    <n v="48"/>
    <x v="1"/>
    <x v="143"/>
    <d v="2024-09-12T00:00:00"/>
    <x v="4"/>
    <x v="26"/>
    <n v="16172.66"/>
    <x v="1"/>
    <n v="0.7"/>
    <n v="11320.861999999999"/>
    <n v="4851.7980000000007"/>
    <n v="7"/>
    <n v="0"/>
    <x v="3"/>
  </r>
  <r>
    <s v="PAT-3160"/>
    <s v="Carol Thompson"/>
    <n v="43"/>
    <x v="1"/>
    <x v="144"/>
    <d v="2024-08-17T00:00:00"/>
    <x v="2"/>
    <x v="8"/>
    <n v="7133.08"/>
    <x v="1"/>
    <n v="0.9"/>
    <n v="6419.7719999999999"/>
    <n v="713.30799999999988"/>
    <n v="7"/>
    <n v="0"/>
    <x v="3"/>
  </r>
  <r>
    <s v="PAT-3161"/>
    <s v="Joseph Jackson"/>
    <n v="48"/>
    <x v="0"/>
    <x v="66"/>
    <d v="2026-01-01T00:00:00"/>
    <x v="0"/>
    <x v="0"/>
    <n v="27699.3"/>
    <x v="1"/>
    <n v="0.5"/>
    <n v="13849.65"/>
    <n v="13849.65"/>
    <n v="10"/>
    <n v="0"/>
    <x v="3"/>
  </r>
  <r>
    <s v="PAT-3162"/>
    <s v="Richard Rodriguez"/>
    <n v="77"/>
    <x v="0"/>
    <x v="145"/>
    <d v="2024-07-03T00:00:00"/>
    <x v="1"/>
    <x v="2"/>
    <n v="1403.37"/>
    <x v="1"/>
    <n v="0.8"/>
    <n v="1122.6959999999999"/>
    <n v="280.67399999999992"/>
    <n v="1"/>
    <n v="0"/>
    <x v="1"/>
  </r>
  <r>
    <s v="PAT-3163"/>
    <s v="Karen Smith"/>
    <n v="69"/>
    <x v="1"/>
    <x v="146"/>
    <d v="2024-05-08T00:00:00"/>
    <x v="1"/>
    <x v="31"/>
    <n v="3350.67"/>
    <x v="1"/>
    <n v="0.8"/>
    <n v="2680.5360000000001"/>
    <n v="670.1339999999999"/>
    <n v="3"/>
    <n v="0"/>
    <x v="1"/>
  </r>
  <r>
    <s v="PAT-3164"/>
    <s v="Elizabeth Williams"/>
    <n v="52"/>
    <x v="1"/>
    <x v="147"/>
    <d v="2024-02-04T00:00:00"/>
    <x v="1"/>
    <x v="31"/>
    <n v="2922.92"/>
    <x v="1"/>
    <n v="1"/>
    <n v="2922.92"/>
    <n v="0"/>
    <n v="2"/>
    <n v="0"/>
    <x v="0"/>
  </r>
  <r>
    <s v="PAT-3165"/>
    <s v="Lisa Garcia"/>
    <n v="67"/>
    <x v="1"/>
    <x v="148"/>
    <d v="2024-11-23T00:00:00"/>
    <x v="1"/>
    <x v="31"/>
    <n v="2127.71"/>
    <x v="2"/>
    <n v="0.9"/>
    <n v="1914.9390000000001"/>
    <n v="212.77099999999996"/>
    <n v="2"/>
    <n v="0"/>
    <x v="1"/>
  </r>
  <r>
    <s v="PAT-3166"/>
    <s v="Ashley Smith"/>
    <n v="75"/>
    <x v="1"/>
    <x v="149"/>
    <d v="2025-09-22T00:00:00"/>
    <x v="0"/>
    <x v="29"/>
    <n v="15507.09"/>
    <x v="0"/>
    <n v="0.9"/>
    <n v="13956.381000000001"/>
    <n v="1550.7089999999996"/>
    <n v="9"/>
    <n v="15507.09"/>
    <x v="1"/>
  </r>
  <r>
    <s v="PAT-3167"/>
    <s v="Steven Thomas"/>
    <n v="3"/>
    <x v="0"/>
    <x v="150"/>
    <d v="2025-08-17T00:00:00"/>
    <x v="3"/>
    <x v="37"/>
    <n v="2767.57"/>
    <x v="0"/>
    <n v="0.5"/>
    <n v="1383.7850000000001"/>
    <n v="1383.7850000000001"/>
    <n v="2"/>
    <n v="2767.57"/>
    <x v="4"/>
  </r>
  <r>
    <s v="PAT-3168"/>
    <s v="Ashley Wilson"/>
    <n v="82"/>
    <x v="1"/>
    <x v="151"/>
    <d v="2025-08-01T00:00:00"/>
    <x v="1"/>
    <x v="2"/>
    <n v="1998.09"/>
    <x v="0"/>
    <n v="0.8"/>
    <n v="1598.472"/>
    <n v="399.61799999999988"/>
    <n v="1"/>
    <n v="1998.09"/>
    <x v="1"/>
  </r>
  <r>
    <s v="PAT-3169"/>
    <s v="Carol Garcia"/>
    <n v="16"/>
    <x v="1"/>
    <x v="70"/>
    <d v="2025-04-06T00:00:00"/>
    <x v="3"/>
    <x v="25"/>
    <n v="6351.72"/>
    <x v="0"/>
    <n v="0.6"/>
    <n v="3811.0320000000002"/>
    <n v="2540.6880000000001"/>
    <n v="5"/>
    <n v="6351.72"/>
    <x v="4"/>
  </r>
  <r>
    <s v="PAT-3170"/>
    <s v="Richard Williams"/>
    <n v="47"/>
    <x v="0"/>
    <x v="152"/>
    <d v="2025-02-11T00:00:00"/>
    <x v="1"/>
    <x v="7"/>
    <n v="2177.35"/>
    <x v="0"/>
    <n v="0.8"/>
    <n v="1741.88"/>
    <n v="435.46999999999986"/>
    <n v="2"/>
    <n v="2177.35"/>
    <x v="3"/>
  </r>
  <r>
    <s v="PAT-3171"/>
    <s v="Mary Martin"/>
    <n v="52"/>
    <x v="1"/>
    <x v="153"/>
    <d v="2025-06-15T00:00:00"/>
    <x v="0"/>
    <x v="1"/>
    <n v="4484.95"/>
    <x v="0"/>
    <n v="0.8"/>
    <n v="3587.96"/>
    <n v="896.98999999999978"/>
    <n v="3"/>
    <n v="4484.95"/>
    <x v="0"/>
  </r>
  <r>
    <s v="PAT-3172"/>
    <s v="Richard Jones"/>
    <n v="81"/>
    <x v="0"/>
    <x v="154"/>
    <d v="2024-08-30T00:00:00"/>
    <x v="1"/>
    <x v="32"/>
    <n v="3381.88"/>
    <x v="0"/>
    <n v="0.9"/>
    <n v="3043.692"/>
    <n v="338.18799999999993"/>
    <n v="2"/>
    <n v="3381.88"/>
    <x v="1"/>
  </r>
  <r>
    <s v="PAT-3173"/>
    <s v="Brian Taylor"/>
    <n v="60"/>
    <x v="0"/>
    <x v="155"/>
    <d v="2025-06-28T00:00:00"/>
    <x v="4"/>
    <x v="18"/>
    <n v="11601.6"/>
    <x v="1"/>
    <n v="0.7"/>
    <n v="8121.12"/>
    <n v="3480.4800000000005"/>
    <n v="5"/>
    <n v="0"/>
    <x v="0"/>
  </r>
  <r>
    <s v="PAT-3174"/>
    <s v="Jessica Hernandez"/>
    <n v="82"/>
    <x v="1"/>
    <x v="156"/>
    <d v="2025-03-03T00:00:00"/>
    <x v="1"/>
    <x v="2"/>
    <n v="2198.17"/>
    <x v="0"/>
    <n v="0.9"/>
    <n v="1978.3530000000001"/>
    <n v="219.81699999999995"/>
    <n v="2"/>
    <n v="2198.17"/>
    <x v="1"/>
  </r>
  <r>
    <s v="PAT-3175"/>
    <s v="Emily Robinson"/>
    <n v="34"/>
    <x v="1"/>
    <x v="157"/>
    <d v="2025-10-17T00:00:00"/>
    <x v="4"/>
    <x v="13"/>
    <n v="35611.43"/>
    <x v="0"/>
    <n v="0.7"/>
    <n v="24928.001"/>
    <n v="10683.429000000002"/>
    <n v="13"/>
    <n v="35611.43"/>
    <x v="2"/>
  </r>
  <r>
    <s v="PAT-3176"/>
    <s v="Christopher White"/>
    <n v="55"/>
    <x v="0"/>
    <x v="32"/>
    <d v="2025-05-26T00:00:00"/>
    <x v="0"/>
    <x v="20"/>
    <n v="8093.35"/>
    <x v="2"/>
    <n v="1"/>
    <n v="8093.35"/>
    <n v="0"/>
    <n v="5"/>
    <n v="0"/>
    <x v="0"/>
  </r>
  <r>
    <s v="PAT-3177"/>
    <s v="James White"/>
    <n v="69"/>
    <x v="0"/>
    <x v="158"/>
    <d v="2024-02-19T00:00:00"/>
    <x v="5"/>
    <x v="34"/>
    <n v="15311.93"/>
    <x v="1"/>
    <n v="0.6"/>
    <n v="9187.1579999999994"/>
    <n v="6124.7720000000008"/>
    <n v="8"/>
    <n v="0"/>
    <x v="1"/>
  </r>
  <r>
    <s v="PAT-3178"/>
    <s v="Lisa Thompson"/>
    <n v="59"/>
    <x v="1"/>
    <x v="50"/>
    <d v="2024-10-13T00:00:00"/>
    <x v="1"/>
    <x v="2"/>
    <n v="4201.93"/>
    <x v="0"/>
    <n v="0.8"/>
    <n v="3361.5440000000003"/>
    <n v="840.38599999999985"/>
    <n v="3"/>
    <n v="4201.93"/>
    <x v="0"/>
  </r>
  <r>
    <s v="PAT-3179"/>
    <s v="Ashley Walker"/>
    <n v="51"/>
    <x v="1"/>
    <x v="159"/>
    <d v="2025-11-07T00:00:00"/>
    <x v="4"/>
    <x v="27"/>
    <n v="12277.27"/>
    <x v="0"/>
    <n v="0.9"/>
    <n v="11049.543000000001"/>
    <n v="1227.7269999999999"/>
    <n v="9"/>
    <n v="12277.27"/>
    <x v="0"/>
  </r>
  <r>
    <s v="PAT-3180"/>
    <s v="Jessica Ramirez"/>
    <n v="7"/>
    <x v="1"/>
    <x v="160"/>
    <d v="2025-05-12T00:00:00"/>
    <x v="3"/>
    <x v="24"/>
    <n v="4150.83"/>
    <x v="1"/>
    <n v="0.7"/>
    <n v="2905.5809999999997"/>
    <n v="1245.2490000000003"/>
    <n v="4"/>
    <n v="0"/>
    <x v="4"/>
  </r>
  <r>
    <s v="PAT-3181"/>
    <s v="Daniel Jackson"/>
    <n v="27"/>
    <x v="0"/>
    <x v="161"/>
    <d v="2024-01-12T00:00:00"/>
    <x v="2"/>
    <x v="33"/>
    <n v="2123.81"/>
    <x v="0"/>
    <n v="1"/>
    <n v="2123.81"/>
    <n v="0"/>
    <n v="3"/>
    <n v="2123.81"/>
    <x v="2"/>
  </r>
  <r>
    <s v="PAT-3182"/>
    <s v="Emily Clark"/>
    <n v="56"/>
    <x v="1"/>
    <x v="162"/>
    <d v="2025-02-03T00:00:00"/>
    <x v="4"/>
    <x v="14"/>
    <n v="29767.07"/>
    <x v="1"/>
    <n v="0.8"/>
    <n v="23813.656000000003"/>
    <n v="5953.4139999999989"/>
    <n v="13"/>
    <n v="0"/>
    <x v="0"/>
  </r>
  <r>
    <s v="PAT-3183"/>
    <s v="David White"/>
    <n v="8"/>
    <x v="0"/>
    <x v="163"/>
    <d v="2025-06-22T00:00:00"/>
    <x v="3"/>
    <x v="22"/>
    <n v="5537.93"/>
    <x v="0"/>
    <n v="0.9"/>
    <n v="4984.1370000000006"/>
    <n v="553.79299999999989"/>
    <n v="5"/>
    <n v="5537.93"/>
    <x v="4"/>
  </r>
  <r>
    <s v="PAT-3184"/>
    <s v="Joshua Garcia"/>
    <n v="77"/>
    <x v="0"/>
    <x v="164"/>
    <d v="2025-08-28T00:00:00"/>
    <x v="2"/>
    <x v="5"/>
    <n v="7949.08"/>
    <x v="0"/>
    <n v="0.6"/>
    <n v="4769.4479999999994"/>
    <n v="3179.6320000000001"/>
    <n v="6"/>
    <n v="7949.08"/>
    <x v="1"/>
  </r>
  <r>
    <s v="PAT-3185"/>
    <s v="Robert Lewis"/>
    <n v="3"/>
    <x v="0"/>
    <x v="165"/>
    <d v="2024-12-29T00:00:00"/>
    <x v="3"/>
    <x v="24"/>
    <n v="6607.88"/>
    <x v="0"/>
    <n v="0.7"/>
    <n v="4625.5159999999996"/>
    <n v="1982.3640000000003"/>
    <n v="4"/>
    <n v="6607.88"/>
    <x v="4"/>
  </r>
  <r>
    <s v="PAT-3186"/>
    <s v="Susan Thomas"/>
    <n v="12"/>
    <x v="1"/>
    <x v="166"/>
    <d v="2024-09-16T00:00:00"/>
    <x v="3"/>
    <x v="23"/>
    <n v="4728.71"/>
    <x v="0"/>
    <n v="0.5"/>
    <n v="2364.355"/>
    <n v="2364.355"/>
    <n v="3"/>
    <n v="4728.71"/>
    <x v="4"/>
  </r>
  <r>
    <s v="PAT-3187"/>
    <s v="Barbara White"/>
    <n v="83"/>
    <x v="1"/>
    <x v="167"/>
    <d v="2024-03-09T00:00:00"/>
    <x v="0"/>
    <x v="1"/>
    <n v="15664.73"/>
    <x v="0"/>
    <n v="0.8"/>
    <n v="12531.784"/>
    <n v="3132.945999999999"/>
    <n v="8"/>
    <n v="15664.73"/>
    <x v="1"/>
  </r>
  <r>
    <s v="PAT-3188"/>
    <s v="Betty Clark"/>
    <n v="53"/>
    <x v="1"/>
    <x v="168"/>
    <d v="2025-10-25T00:00:00"/>
    <x v="2"/>
    <x v="33"/>
    <n v="2716.52"/>
    <x v="2"/>
    <n v="0"/>
    <n v="0"/>
    <n v="2716.52"/>
    <n v="4"/>
    <n v="0"/>
    <x v="0"/>
  </r>
  <r>
    <s v="PAT-3189"/>
    <s v="Susan Miller"/>
    <n v="29"/>
    <x v="1"/>
    <x v="38"/>
    <d v="2024-12-18T00:00:00"/>
    <x v="2"/>
    <x v="21"/>
    <n v="716.18"/>
    <x v="0"/>
    <n v="0.8"/>
    <n v="572.94399999999996"/>
    <n v="143.23599999999996"/>
    <n v="1"/>
    <n v="716.18"/>
    <x v="2"/>
  </r>
  <r>
    <s v="PAT-3190"/>
    <s v="Jennifer Young"/>
    <n v="49"/>
    <x v="1"/>
    <x v="169"/>
    <d v="2025-03-25T00:00:00"/>
    <x v="5"/>
    <x v="28"/>
    <n v="3478.78"/>
    <x v="0"/>
    <n v="0.8"/>
    <n v="2783.0240000000003"/>
    <n v="695.75599999999986"/>
    <n v="3"/>
    <n v="3478.78"/>
    <x v="3"/>
  </r>
  <r>
    <s v="PAT-3191"/>
    <s v="Mary Miller"/>
    <n v="48"/>
    <x v="1"/>
    <x v="40"/>
    <d v="2025-11-24T00:00:00"/>
    <x v="2"/>
    <x v="10"/>
    <n v="3693.12"/>
    <x v="1"/>
    <n v="1"/>
    <n v="3693.12"/>
    <n v="0"/>
    <n v="6"/>
    <n v="0"/>
    <x v="3"/>
  </r>
  <r>
    <s v="PAT-3192"/>
    <s v="Barbara Garcia"/>
    <n v="80"/>
    <x v="1"/>
    <x v="170"/>
    <d v="2024-03-12T00:00:00"/>
    <x v="2"/>
    <x v="21"/>
    <n v="1441.21"/>
    <x v="0"/>
    <n v="0"/>
    <n v="0"/>
    <n v="1441.21"/>
    <n v="1"/>
    <n v="1441.21"/>
    <x v="1"/>
  </r>
  <r>
    <s v="PAT-3193"/>
    <s v="Lisa Clark"/>
    <n v="52"/>
    <x v="1"/>
    <x v="171"/>
    <d v="2024-12-19T00:00:00"/>
    <x v="2"/>
    <x v="21"/>
    <n v="8378.4500000000007"/>
    <x v="1"/>
    <n v="0.7"/>
    <n v="5864.915"/>
    <n v="2513.5350000000008"/>
    <n v="6"/>
    <n v="0"/>
    <x v="0"/>
  </r>
  <r>
    <s v="PAT-3194"/>
    <s v="Dorothy White"/>
    <n v="77"/>
    <x v="1"/>
    <x v="172"/>
    <d v="2024-10-30T00:00:00"/>
    <x v="0"/>
    <x v="0"/>
    <n v="16501.419999999998"/>
    <x v="0"/>
    <n v="0.5"/>
    <n v="8250.7099999999991"/>
    <n v="8250.7099999999991"/>
    <n v="10"/>
    <n v="16501.419999999998"/>
    <x v="1"/>
  </r>
  <r>
    <s v="PAT-3195"/>
    <s v="Linda Jackson"/>
    <n v="53"/>
    <x v="1"/>
    <x v="32"/>
    <d v="2025-05-30T00:00:00"/>
    <x v="0"/>
    <x v="19"/>
    <n v="18430.509999999998"/>
    <x v="0"/>
    <n v="1"/>
    <n v="18430.509999999998"/>
    <n v="0"/>
    <n v="9"/>
    <n v="18430.509999999998"/>
    <x v="0"/>
  </r>
  <r>
    <s v="PAT-3196"/>
    <s v="Anthony Thompson"/>
    <n v="42"/>
    <x v="0"/>
    <x v="173"/>
    <d v="2024-09-18T00:00:00"/>
    <x v="2"/>
    <x v="16"/>
    <n v="1567.15"/>
    <x v="2"/>
    <n v="0.8"/>
    <n v="1253.7200000000003"/>
    <n v="313.42999999999995"/>
    <n v="3"/>
    <n v="0"/>
    <x v="3"/>
  </r>
  <r>
    <s v="PAT-3197"/>
    <s v="Michelle Perez"/>
    <n v="61"/>
    <x v="1"/>
    <x v="47"/>
    <d v="2024-09-11T00:00:00"/>
    <x v="1"/>
    <x v="7"/>
    <n v="917.44"/>
    <x v="0"/>
    <n v="0.8"/>
    <n v="733.95200000000011"/>
    <n v="183.48799999999997"/>
    <n v="1"/>
    <n v="917.44"/>
    <x v="0"/>
  </r>
  <r>
    <s v="PAT-3198"/>
    <s v="Nancy Harris"/>
    <n v="81"/>
    <x v="1"/>
    <x v="174"/>
    <d v="2025-12-12T00:00:00"/>
    <x v="0"/>
    <x v="19"/>
    <n v="18345.38"/>
    <x v="1"/>
    <n v="0.8"/>
    <n v="14676.304000000002"/>
    <n v="3669.0759999999996"/>
    <n v="9"/>
    <n v="0"/>
    <x v="1"/>
  </r>
  <r>
    <s v="PAT-3199"/>
    <s v="Ashley Moore"/>
    <n v="53"/>
    <x v="1"/>
    <x v="175"/>
    <d v="2024-12-09T00:00:00"/>
    <x v="5"/>
    <x v="12"/>
    <n v="19211.240000000002"/>
    <x v="0"/>
    <n v="0.9"/>
    <n v="17290.116000000002"/>
    <n v="1921.1239999999998"/>
    <n v="9"/>
    <n v="19211.240000000002"/>
    <x v="0"/>
  </r>
  <r>
    <s v="PAT-3200"/>
    <s v="Joshua Rodriguez"/>
    <n v="48"/>
    <x v="0"/>
    <x v="176"/>
    <d v="2025-06-01T00:00:00"/>
    <x v="0"/>
    <x v="1"/>
    <n v="10336.58"/>
    <x v="0"/>
    <n v="1"/>
    <n v="10336.58"/>
    <n v="0"/>
    <n v="4"/>
    <n v="10336.58"/>
    <x v="3"/>
  </r>
  <r>
    <s v="PAT-3201"/>
    <s v="Lisa Martin"/>
    <n v="64"/>
    <x v="1"/>
    <x v="177"/>
    <d v="2025-02-24T00:00:00"/>
    <x v="2"/>
    <x v="33"/>
    <n v="4926.12"/>
    <x v="1"/>
    <n v="0.7"/>
    <n v="3448.2839999999997"/>
    <n v="1477.8360000000002"/>
    <n v="7"/>
    <n v="0"/>
    <x v="0"/>
  </r>
  <r>
    <s v="PAT-3202"/>
    <s v="Susan Davis"/>
    <n v="80"/>
    <x v="1"/>
    <x v="178"/>
    <d v="2024-07-24T00:00:00"/>
    <x v="5"/>
    <x v="35"/>
    <n v="13102.72"/>
    <x v="1"/>
    <n v="0.5"/>
    <n v="6551.36"/>
    <n v="6551.36"/>
    <n v="6"/>
    <n v="0"/>
    <x v="1"/>
  </r>
  <r>
    <s v="PAT-3203"/>
    <s v="Anthony Anderson"/>
    <n v="56"/>
    <x v="0"/>
    <x v="179"/>
    <d v="2024-03-11T00:00:00"/>
    <x v="2"/>
    <x v="5"/>
    <n v="4595.79"/>
    <x v="0"/>
    <n v="0.8"/>
    <n v="3676.6320000000001"/>
    <n v="919.15799999999979"/>
    <n v="7"/>
    <n v="4595.79"/>
    <x v="0"/>
  </r>
  <r>
    <s v="PAT-3204"/>
    <s v="Kenneth Jones"/>
    <n v="63"/>
    <x v="0"/>
    <x v="118"/>
    <d v="2024-12-02T00:00:00"/>
    <x v="1"/>
    <x v="31"/>
    <n v="3717.61"/>
    <x v="1"/>
    <n v="0.9"/>
    <n v="3345.8490000000002"/>
    <n v="371.76099999999991"/>
    <n v="3"/>
    <n v="0"/>
    <x v="0"/>
  </r>
  <r>
    <s v="PAT-3205"/>
    <s v="Daniel Young"/>
    <n v="43"/>
    <x v="0"/>
    <x v="180"/>
    <d v="2026-01-03T00:00:00"/>
    <x v="4"/>
    <x v="18"/>
    <n v="33810.44"/>
    <x v="0"/>
    <n v="0.9"/>
    <n v="30429.396000000004"/>
    <n v="3381.0439999999994"/>
    <n v="13"/>
    <n v="33810.44"/>
    <x v="3"/>
  </r>
  <r>
    <s v="PAT-3206"/>
    <s v="Betty Williams"/>
    <n v="8"/>
    <x v="1"/>
    <x v="181"/>
    <d v="2025-01-07T00:00:00"/>
    <x v="3"/>
    <x v="22"/>
    <n v="4115.83"/>
    <x v="0"/>
    <n v="0.5"/>
    <n v="2057.915"/>
    <n v="2057.915"/>
    <n v="4"/>
    <n v="4115.83"/>
    <x v="4"/>
  </r>
  <r>
    <s v="PAT-3207"/>
    <s v="Ashley Brown"/>
    <n v="56"/>
    <x v="1"/>
    <x v="70"/>
    <d v="2025-04-07T00:00:00"/>
    <x v="2"/>
    <x v="5"/>
    <n v="8245.4599999999991"/>
    <x v="2"/>
    <n v="0.5"/>
    <n v="4122.7299999999996"/>
    <n v="4122.7299999999996"/>
    <n v="6"/>
    <n v="0"/>
    <x v="0"/>
  </r>
  <r>
    <s v="PAT-3208"/>
    <s v="Anthony Rodriguez"/>
    <n v="11"/>
    <x v="0"/>
    <x v="182"/>
    <d v="2025-02-21T00:00:00"/>
    <x v="3"/>
    <x v="9"/>
    <n v="7654.55"/>
    <x v="0"/>
    <n v="1"/>
    <n v="7654.55"/>
    <n v="0"/>
    <n v="5"/>
    <n v="7654.55"/>
    <x v="4"/>
  </r>
  <r>
    <s v="PAT-3209"/>
    <s v="Joshua Moore"/>
    <n v="52"/>
    <x v="0"/>
    <x v="24"/>
    <d v="2025-02-22T00:00:00"/>
    <x v="5"/>
    <x v="28"/>
    <n v="7167.44"/>
    <x v="0"/>
    <n v="0.8"/>
    <n v="5733.9520000000002"/>
    <n v="1433.4879999999996"/>
    <n v="4"/>
    <n v="7167.44"/>
    <x v="0"/>
  </r>
  <r>
    <s v="PAT-3210"/>
    <s v="Barbara Young"/>
    <n v="53"/>
    <x v="1"/>
    <x v="183"/>
    <d v="2025-06-03T00:00:00"/>
    <x v="1"/>
    <x v="2"/>
    <n v="2556.12"/>
    <x v="0"/>
    <n v="0.8"/>
    <n v="2044.896"/>
    <n v="511.22399999999988"/>
    <n v="2"/>
    <n v="2556.12"/>
    <x v="0"/>
  </r>
  <r>
    <s v="PAT-3211"/>
    <s v="Christopher White"/>
    <n v="3"/>
    <x v="0"/>
    <x v="184"/>
    <d v="2024-08-08T00:00:00"/>
    <x v="3"/>
    <x v="24"/>
    <n v="3139.43"/>
    <x v="0"/>
    <n v="0.8"/>
    <n v="2511.5439999999999"/>
    <n v="627.88599999999985"/>
    <n v="3"/>
    <n v="3139.43"/>
    <x v="4"/>
  </r>
  <r>
    <s v="PAT-3212"/>
    <s v="William Perez"/>
    <n v="84"/>
    <x v="0"/>
    <x v="63"/>
    <d v="2025-03-16T00:00:00"/>
    <x v="1"/>
    <x v="2"/>
    <n v="1893.98"/>
    <x v="0"/>
    <n v="0.9"/>
    <n v="1704.5820000000001"/>
    <n v="189.39799999999997"/>
    <n v="1"/>
    <n v="1893.98"/>
    <x v="1"/>
  </r>
  <r>
    <s v="PAT-3213"/>
    <s v="Emily Clark"/>
    <n v="32"/>
    <x v="1"/>
    <x v="185"/>
    <d v="2025-07-02T00:00:00"/>
    <x v="5"/>
    <x v="28"/>
    <n v="11663.48"/>
    <x v="1"/>
    <n v="0"/>
    <n v="0"/>
    <n v="11663.48"/>
    <n v="6"/>
    <n v="0"/>
    <x v="2"/>
  </r>
  <r>
    <s v="PAT-3214"/>
    <s v="Mary Taylor"/>
    <n v="39"/>
    <x v="1"/>
    <x v="186"/>
    <d v="2024-09-09T00:00:00"/>
    <x v="2"/>
    <x v="21"/>
    <n v="1596.88"/>
    <x v="2"/>
    <n v="0.5"/>
    <n v="798.44"/>
    <n v="798.44"/>
    <n v="3"/>
    <n v="0"/>
    <x v="3"/>
  </r>
  <r>
    <s v="PAT-3215"/>
    <s v="Michelle Garcia"/>
    <n v="49"/>
    <x v="1"/>
    <x v="187"/>
    <d v="2024-08-09T00:00:00"/>
    <x v="2"/>
    <x v="8"/>
    <n v="4111.79"/>
    <x v="0"/>
    <n v="0.8"/>
    <n v="3289.4320000000002"/>
    <n v="822.35799999999983"/>
    <n v="5"/>
    <n v="4111.79"/>
    <x v="3"/>
  </r>
  <r>
    <s v="PAT-3216"/>
    <s v="Michael Perez"/>
    <n v="28"/>
    <x v="0"/>
    <x v="188"/>
    <d v="2024-03-27T00:00:00"/>
    <x v="1"/>
    <x v="2"/>
    <n v="6606.32"/>
    <x v="0"/>
    <n v="0.8"/>
    <n v="5285.0560000000005"/>
    <n v="1321.2639999999997"/>
    <n v="3"/>
    <n v="6606.32"/>
    <x v="2"/>
  </r>
  <r>
    <s v="PAT-3217"/>
    <s v="Carol White"/>
    <n v="53"/>
    <x v="1"/>
    <x v="186"/>
    <d v="2024-09-18T00:00:00"/>
    <x v="5"/>
    <x v="35"/>
    <n v="31197"/>
    <x v="1"/>
    <n v="0.8"/>
    <n v="24957.600000000002"/>
    <n v="6239.3999999999987"/>
    <n v="12"/>
    <n v="0"/>
    <x v="0"/>
  </r>
  <r>
    <s v="PAT-3218"/>
    <s v="Christopher Perez"/>
    <n v="46"/>
    <x v="0"/>
    <x v="189"/>
    <d v="2025-01-11T00:00:00"/>
    <x v="0"/>
    <x v="1"/>
    <n v="23891.3"/>
    <x v="0"/>
    <n v="0.9"/>
    <n v="21502.17"/>
    <n v="2389.1299999999992"/>
    <n v="10"/>
    <n v="23891.3"/>
    <x v="3"/>
  </r>
  <r>
    <s v="PAT-3219"/>
    <s v="David Moore"/>
    <n v="66"/>
    <x v="0"/>
    <x v="190"/>
    <d v="2025-11-27T00:00:00"/>
    <x v="0"/>
    <x v="20"/>
    <n v="18293.13"/>
    <x v="2"/>
    <n v="0.6"/>
    <n v="10975.878000000001"/>
    <n v="7317.2520000000004"/>
    <n v="10"/>
    <n v="0"/>
    <x v="1"/>
  </r>
  <r>
    <s v="PAT-3220"/>
    <s v="Emily Walker"/>
    <n v="28"/>
    <x v="1"/>
    <x v="13"/>
    <d v="2024-08-23T00:00:00"/>
    <x v="1"/>
    <x v="31"/>
    <n v="7364.68"/>
    <x v="1"/>
    <n v="0.7"/>
    <n v="5155.2759999999998"/>
    <n v="2209.4040000000005"/>
    <n v="3"/>
    <n v="0"/>
    <x v="2"/>
  </r>
  <r>
    <s v="PAT-3221"/>
    <s v="Jessica Jackson"/>
    <n v="3"/>
    <x v="1"/>
    <x v="141"/>
    <d v="2024-06-28T00:00:00"/>
    <x v="3"/>
    <x v="9"/>
    <n v="2403.02"/>
    <x v="0"/>
    <n v="0.8"/>
    <n v="1922.4160000000002"/>
    <n v="480.60399999999987"/>
    <n v="2"/>
    <n v="2403.02"/>
    <x v="4"/>
  </r>
  <r>
    <s v="PAT-3222"/>
    <s v="Thomas Miller"/>
    <n v="68"/>
    <x v="0"/>
    <x v="191"/>
    <d v="2025-12-09T00:00:00"/>
    <x v="5"/>
    <x v="17"/>
    <n v="22054.65"/>
    <x v="1"/>
    <n v="0.8"/>
    <n v="17643.72"/>
    <n v="4410.9299999999994"/>
    <n v="10"/>
    <n v="0"/>
    <x v="1"/>
  </r>
  <r>
    <s v="PAT-3223"/>
    <s v="Kevin Taylor"/>
    <n v="40"/>
    <x v="0"/>
    <x v="66"/>
    <d v="2025-12-27T00:00:00"/>
    <x v="2"/>
    <x v="8"/>
    <n v="6331.28"/>
    <x v="2"/>
    <n v="0.8"/>
    <n v="5065.0240000000003"/>
    <n v="1266.2559999999996"/>
    <n v="5"/>
    <n v="0"/>
    <x v="3"/>
  </r>
  <r>
    <s v="PAT-3224"/>
    <s v="Richard Robinson"/>
    <n v="63"/>
    <x v="0"/>
    <x v="192"/>
    <d v="2024-10-19T00:00:00"/>
    <x v="0"/>
    <x v="29"/>
    <n v="27345.03"/>
    <x v="1"/>
    <n v="1"/>
    <n v="27345.03"/>
    <n v="0"/>
    <n v="10"/>
    <n v="0"/>
    <x v="0"/>
  </r>
  <r>
    <s v="PAT-3225"/>
    <s v="Michelle Martinez"/>
    <n v="44"/>
    <x v="1"/>
    <x v="130"/>
    <d v="2024-05-10T00:00:00"/>
    <x v="4"/>
    <x v="11"/>
    <n v="11435.94"/>
    <x v="0"/>
    <n v="0.9"/>
    <n v="10292.346000000001"/>
    <n v="1143.5939999999998"/>
    <n v="8"/>
    <n v="11435.94"/>
    <x v="3"/>
  </r>
  <r>
    <s v="PAT-3226"/>
    <s v="William Young"/>
    <n v="70"/>
    <x v="0"/>
    <x v="193"/>
    <d v="2024-09-19T00:00:00"/>
    <x v="1"/>
    <x v="36"/>
    <n v="859.95"/>
    <x v="1"/>
    <n v="0.6"/>
    <n v="515.97"/>
    <n v="343.98"/>
    <n v="1"/>
    <n v="0"/>
    <x v="1"/>
  </r>
  <r>
    <s v="PAT-3227"/>
    <s v="Richard Smith"/>
    <n v="1"/>
    <x v="0"/>
    <x v="137"/>
    <d v="2024-04-21T00:00:00"/>
    <x v="3"/>
    <x v="23"/>
    <n v="2590.21"/>
    <x v="1"/>
    <n v="0.9"/>
    <n v="2331.1890000000003"/>
    <n v="259.02099999999996"/>
    <n v="3"/>
    <n v="0"/>
    <x v="4"/>
  </r>
  <r>
    <s v="PAT-3228"/>
    <s v="Betty Thompson"/>
    <n v="48"/>
    <x v="1"/>
    <x v="194"/>
    <d v="2025-07-27T00:00:00"/>
    <x v="2"/>
    <x v="8"/>
    <n v="791.92"/>
    <x v="2"/>
    <n v="0.5"/>
    <n v="395.96"/>
    <n v="395.96"/>
    <n v="1"/>
    <n v="0"/>
    <x v="3"/>
  </r>
  <r>
    <s v="PAT-3229"/>
    <s v="Jessica Young"/>
    <n v="48"/>
    <x v="1"/>
    <x v="144"/>
    <d v="2024-08-13T00:00:00"/>
    <x v="1"/>
    <x v="32"/>
    <n v="3524.43"/>
    <x v="0"/>
    <n v="0.8"/>
    <n v="2819.5439999999999"/>
    <n v="704.88599999999985"/>
    <n v="3"/>
    <n v="3524.43"/>
    <x v="3"/>
  </r>
  <r>
    <s v="PAT-3230"/>
    <s v="Joshua Taylor"/>
    <n v="43"/>
    <x v="0"/>
    <x v="195"/>
    <d v="2024-06-14T00:00:00"/>
    <x v="4"/>
    <x v="18"/>
    <n v="4464.59"/>
    <x v="2"/>
    <n v="0"/>
    <n v="0"/>
    <n v="4464.59"/>
    <n v="2"/>
    <n v="0"/>
    <x v="3"/>
  </r>
  <r>
    <s v="PAT-3231"/>
    <s v="Karen Robinson"/>
    <n v="24"/>
    <x v="1"/>
    <x v="23"/>
    <d v="2024-03-22T00:00:00"/>
    <x v="1"/>
    <x v="36"/>
    <n v="4867.6099999999997"/>
    <x v="0"/>
    <n v="0.7"/>
    <n v="3407.3269999999998"/>
    <n v="1460.2830000000001"/>
    <n v="3"/>
    <n v="4867.6099999999997"/>
    <x v="2"/>
  </r>
  <r>
    <s v="PAT-3232"/>
    <s v="Daniel Harris"/>
    <n v="41"/>
    <x v="0"/>
    <x v="196"/>
    <d v="2024-11-13T00:00:00"/>
    <x v="0"/>
    <x v="29"/>
    <n v="5584.74"/>
    <x v="0"/>
    <n v="1"/>
    <n v="5584.74"/>
    <n v="0"/>
    <n v="4"/>
    <n v="5584.74"/>
    <x v="3"/>
  </r>
  <r>
    <s v="PAT-3233"/>
    <s v="Sarah Perez"/>
    <n v="51"/>
    <x v="1"/>
    <x v="55"/>
    <d v="2025-05-07T00:00:00"/>
    <x v="1"/>
    <x v="2"/>
    <n v="4718.74"/>
    <x v="1"/>
    <n v="0.8"/>
    <n v="3774.9920000000002"/>
    <n v="943.74799999999971"/>
    <n v="2"/>
    <n v="0"/>
    <x v="0"/>
  </r>
  <r>
    <s v="PAT-3234"/>
    <s v="Joseph Robinson"/>
    <n v="10"/>
    <x v="0"/>
    <x v="197"/>
    <d v="2025-02-15T00:00:00"/>
    <x v="3"/>
    <x v="37"/>
    <n v="1605.56"/>
    <x v="1"/>
    <n v="0.8"/>
    <n v="1284.4480000000001"/>
    <n v="321.11199999999991"/>
    <n v="1"/>
    <n v="0"/>
    <x v="4"/>
  </r>
  <r>
    <s v="PAT-3235"/>
    <s v="Kenneth Anderson"/>
    <n v="75"/>
    <x v="0"/>
    <x v="198"/>
    <d v="2025-03-01T00:00:00"/>
    <x v="2"/>
    <x v="5"/>
    <n v="1383.31"/>
    <x v="0"/>
    <n v="0.9"/>
    <n v="1244.979"/>
    <n v="138.33099999999996"/>
    <n v="1"/>
    <n v="1383.31"/>
    <x v="1"/>
  </r>
  <r>
    <s v="PAT-3236"/>
    <s v="Ashley Williams"/>
    <n v="50"/>
    <x v="1"/>
    <x v="199"/>
    <d v="2025-04-08T00:00:00"/>
    <x v="0"/>
    <x v="20"/>
    <n v="19135.11"/>
    <x v="0"/>
    <n v="0.8"/>
    <n v="15308.088000000002"/>
    <n v="3827.0219999999995"/>
    <n v="8"/>
    <n v="19135.11"/>
    <x v="3"/>
  </r>
  <r>
    <s v="PAT-3237"/>
    <s v="Dorothy Taylor"/>
    <n v="46"/>
    <x v="1"/>
    <x v="200"/>
    <d v="2024-10-17T00:00:00"/>
    <x v="4"/>
    <x v="14"/>
    <n v="9234.25"/>
    <x v="1"/>
    <n v="0.7"/>
    <n v="6463.9749999999995"/>
    <n v="2770.2750000000005"/>
    <n v="4"/>
    <n v="0"/>
    <x v="3"/>
  </r>
  <r>
    <s v="PAT-3238"/>
    <s v="William Williams"/>
    <n v="83"/>
    <x v="0"/>
    <x v="201"/>
    <d v="2024-06-29T00:00:00"/>
    <x v="0"/>
    <x v="20"/>
    <n v="7388.36"/>
    <x v="0"/>
    <n v="0.9"/>
    <n v="6649.5239999999994"/>
    <n v="738.83599999999979"/>
    <n v="5"/>
    <n v="7388.36"/>
    <x v="1"/>
  </r>
  <r>
    <s v="PAT-3239"/>
    <s v="Ashley Thomas"/>
    <n v="17"/>
    <x v="1"/>
    <x v="126"/>
    <d v="2024-06-25T00:00:00"/>
    <x v="3"/>
    <x v="24"/>
    <n v="2080.9499999999998"/>
    <x v="2"/>
    <n v="1"/>
    <n v="2080.9499999999998"/>
    <n v="0"/>
    <n v="3"/>
    <n v="0"/>
    <x v="4"/>
  </r>
  <r>
    <s v="PAT-3240"/>
    <s v="Richard Young"/>
    <n v="70"/>
    <x v="0"/>
    <x v="202"/>
    <d v="2024-01-12T00:00:00"/>
    <x v="4"/>
    <x v="26"/>
    <n v="5457.97"/>
    <x v="0"/>
    <n v="0.8"/>
    <n v="4366.3760000000002"/>
    <n v="1091.5939999999998"/>
    <n v="2"/>
    <n v="5457.97"/>
    <x v="1"/>
  </r>
  <r>
    <s v="PAT-3241"/>
    <s v="Donna Jones"/>
    <n v="42"/>
    <x v="1"/>
    <x v="203"/>
    <d v="2024-08-30T00:00:00"/>
    <x v="4"/>
    <x v="13"/>
    <n v="15047.59"/>
    <x v="0"/>
    <n v="0.8"/>
    <n v="12038.072"/>
    <n v="3009.5179999999996"/>
    <n v="12"/>
    <n v="15047.59"/>
    <x v="3"/>
  </r>
  <r>
    <s v="PAT-3242"/>
    <s v="Susan Brown"/>
    <n v="16"/>
    <x v="1"/>
    <x v="100"/>
    <d v="2024-12-06T00:00:00"/>
    <x v="3"/>
    <x v="37"/>
    <n v="2737.97"/>
    <x v="0"/>
    <n v="0.9"/>
    <n v="2464.1729999999998"/>
    <n v="273.79699999999991"/>
    <n v="2"/>
    <n v="2737.97"/>
    <x v="4"/>
  </r>
  <r>
    <s v="PAT-3243"/>
    <s v="Thomas Miller"/>
    <n v="58"/>
    <x v="0"/>
    <x v="204"/>
    <d v="2025-01-07T00:00:00"/>
    <x v="4"/>
    <x v="13"/>
    <n v="19026.97"/>
    <x v="1"/>
    <n v="0.8"/>
    <n v="15221.576000000001"/>
    <n v="3805.3939999999993"/>
    <n v="14"/>
    <n v="0"/>
    <x v="0"/>
  </r>
  <r>
    <s v="PAT-3244"/>
    <s v="Matthew Clark"/>
    <n v="35"/>
    <x v="0"/>
    <x v="74"/>
    <d v="2024-02-04T00:00:00"/>
    <x v="1"/>
    <x v="31"/>
    <n v="4955.5"/>
    <x v="1"/>
    <n v="0.9"/>
    <n v="4459.95"/>
    <n v="495.5499999999999"/>
    <n v="3"/>
    <n v="0"/>
    <x v="2"/>
  </r>
  <r>
    <s v="PAT-3245"/>
    <s v="Karen Ramirez"/>
    <n v="58"/>
    <x v="1"/>
    <x v="205"/>
    <d v="2025-04-12T00:00:00"/>
    <x v="1"/>
    <x v="36"/>
    <n v="4048.56"/>
    <x v="1"/>
    <n v="0.8"/>
    <n v="3238.848"/>
    <n v="809.71199999999976"/>
    <n v="2"/>
    <n v="0"/>
    <x v="0"/>
  </r>
  <r>
    <s v="PAT-3246"/>
    <s v="Joseph Perez"/>
    <n v="47"/>
    <x v="0"/>
    <x v="206"/>
    <d v="2025-12-10T00:00:00"/>
    <x v="2"/>
    <x v="33"/>
    <n v="6918.6"/>
    <x v="0"/>
    <n v="0.8"/>
    <n v="5534.880000000001"/>
    <n v="1383.7199999999998"/>
    <n v="6"/>
    <n v="6918.6"/>
    <x v="3"/>
  </r>
  <r>
    <s v="PAT-3247"/>
    <s v="Elizabeth Jackson"/>
    <n v="8"/>
    <x v="1"/>
    <x v="204"/>
    <d v="2024-12-27T00:00:00"/>
    <x v="3"/>
    <x v="23"/>
    <n v="3846.88"/>
    <x v="0"/>
    <n v="0.8"/>
    <n v="3077.5040000000004"/>
    <n v="769.37599999999986"/>
    <n v="3"/>
    <n v="3846.88"/>
    <x v="4"/>
  </r>
  <r>
    <s v="PAT-3248"/>
    <s v="Carol Taylor"/>
    <n v="65"/>
    <x v="1"/>
    <x v="57"/>
    <d v="2025-05-03T00:00:00"/>
    <x v="2"/>
    <x v="21"/>
    <n v="3019.93"/>
    <x v="2"/>
    <n v="0.7"/>
    <n v="2113.9509999999996"/>
    <n v="905.97900000000004"/>
    <n v="4"/>
    <n v="0"/>
    <x v="0"/>
  </r>
  <r>
    <s v="PAT-3249"/>
    <s v="Robert Walker"/>
    <n v="4"/>
    <x v="0"/>
    <x v="207"/>
    <d v="2024-12-02T00:00:00"/>
    <x v="3"/>
    <x v="25"/>
    <n v="3543.7"/>
    <x v="1"/>
    <n v="0.9"/>
    <n v="3189.33"/>
    <n v="354.36999999999989"/>
    <n v="4"/>
    <n v="0"/>
    <x v="4"/>
  </r>
  <r>
    <s v="PAT-3250"/>
    <s v="Joshua Martin"/>
    <n v="55"/>
    <x v="0"/>
    <x v="208"/>
    <d v="2025-07-16T00:00:00"/>
    <x v="4"/>
    <x v="27"/>
    <n v="2354.4899999999998"/>
    <x v="2"/>
    <n v="0.6"/>
    <n v="1412.6939999999997"/>
    <n v="941.79599999999994"/>
    <n v="2"/>
    <n v="0"/>
    <x v="0"/>
  </r>
  <r>
    <s v="PAT-3251"/>
    <s v="Ashley Thomas"/>
    <n v="47"/>
    <x v="1"/>
    <x v="209"/>
    <d v="2025-09-19T00:00:00"/>
    <x v="1"/>
    <x v="2"/>
    <n v="4854.92"/>
    <x v="2"/>
    <n v="0.7"/>
    <n v="3398.444"/>
    <n v="1456.4760000000003"/>
    <n v="3"/>
    <n v="0"/>
    <x v="3"/>
  </r>
  <r>
    <s v="PAT-3252"/>
    <s v="Sandra Moore"/>
    <n v="7"/>
    <x v="1"/>
    <x v="107"/>
    <d v="2024-07-07T00:00:00"/>
    <x v="3"/>
    <x v="37"/>
    <n v="2341.4499999999998"/>
    <x v="1"/>
    <n v="0.9"/>
    <n v="2107.3049999999998"/>
    <n v="234.14499999999992"/>
    <n v="2"/>
    <n v="0"/>
    <x v="4"/>
  </r>
  <r>
    <s v="PAT-3253"/>
    <s v="Andrew Walker"/>
    <n v="8"/>
    <x v="0"/>
    <x v="111"/>
    <d v="2024-11-10T00:00:00"/>
    <x v="3"/>
    <x v="24"/>
    <n v="6634.75"/>
    <x v="1"/>
    <n v="1"/>
    <n v="6634.75"/>
    <n v="0"/>
    <n v="5"/>
    <n v="0"/>
    <x v="4"/>
  </r>
  <r>
    <s v="PAT-3254"/>
    <s v="Linda Hernandez"/>
    <n v="11"/>
    <x v="1"/>
    <x v="210"/>
    <d v="2025-04-26T00:00:00"/>
    <x v="3"/>
    <x v="23"/>
    <n v="2307.54"/>
    <x v="1"/>
    <n v="0.7"/>
    <n v="1615.2779999999998"/>
    <n v="692.26200000000006"/>
    <n v="3"/>
    <n v="0"/>
    <x v="4"/>
  </r>
  <r>
    <s v="PAT-3255"/>
    <s v="Mark Clark"/>
    <n v="29"/>
    <x v="0"/>
    <x v="211"/>
    <d v="2025-11-07T00:00:00"/>
    <x v="2"/>
    <x v="10"/>
    <n v="6481.41"/>
    <x v="2"/>
    <n v="0.6"/>
    <n v="3888.8459999999995"/>
    <n v="2592.5640000000003"/>
    <n v="5"/>
    <n v="0"/>
    <x v="2"/>
  </r>
  <r>
    <s v="PAT-3256"/>
    <s v="Brian Wilson"/>
    <n v="43"/>
    <x v="0"/>
    <x v="101"/>
    <d v="2024-01-14T00:00:00"/>
    <x v="0"/>
    <x v="6"/>
    <n v="14839.54"/>
    <x v="2"/>
    <n v="0.7"/>
    <n v="10387.678"/>
    <n v="4451.862000000001"/>
    <n v="9"/>
    <n v="0"/>
    <x v="3"/>
  </r>
  <r>
    <s v="PAT-3257"/>
    <s v="Emily Thomas"/>
    <n v="31"/>
    <x v="1"/>
    <x v="212"/>
    <d v="2025-11-26T00:00:00"/>
    <x v="5"/>
    <x v="17"/>
    <n v="8724.32"/>
    <x v="1"/>
    <n v="0.8"/>
    <n v="6979.4560000000001"/>
    <n v="1744.8639999999996"/>
    <n v="5"/>
    <n v="0"/>
    <x v="2"/>
  </r>
  <r>
    <s v="PAT-3258"/>
    <s v="Sandra Brown"/>
    <n v="74"/>
    <x v="1"/>
    <x v="213"/>
    <d v="2025-04-23T00:00:00"/>
    <x v="2"/>
    <x v="4"/>
    <n v="8724.0499999999993"/>
    <x v="1"/>
    <n v="0.5"/>
    <n v="4362.0249999999996"/>
    <n v="4362.0249999999996"/>
    <n v="6"/>
    <n v="0"/>
    <x v="1"/>
  </r>
  <r>
    <s v="PAT-3259"/>
    <s v="Dorothy Harris"/>
    <n v="60"/>
    <x v="1"/>
    <x v="214"/>
    <d v="2025-03-02T00:00:00"/>
    <x v="0"/>
    <x v="29"/>
    <n v="12277.2"/>
    <x v="0"/>
    <n v="1"/>
    <n v="12277.2"/>
    <n v="0"/>
    <n v="7"/>
    <n v="12277.2"/>
    <x v="0"/>
  </r>
  <r>
    <s v="PAT-3260"/>
    <s v="Ashley Rodriguez"/>
    <n v="82"/>
    <x v="1"/>
    <x v="126"/>
    <d v="2024-06-25T00:00:00"/>
    <x v="1"/>
    <x v="2"/>
    <n v="7304.79"/>
    <x v="0"/>
    <n v="0.9"/>
    <n v="6574.3109999999997"/>
    <n v="730.47899999999981"/>
    <n v="3"/>
    <n v="7304.79"/>
    <x v="1"/>
  </r>
  <r>
    <s v="PAT-3261"/>
    <s v="Dorothy Ramirez"/>
    <n v="44"/>
    <x v="1"/>
    <x v="27"/>
    <d v="2025-01-28T00:00:00"/>
    <x v="1"/>
    <x v="7"/>
    <n v="4042.99"/>
    <x v="2"/>
    <n v="1"/>
    <n v="4042.99"/>
    <n v="0"/>
    <n v="3"/>
    <n v="0"/>
    <x v="3"/>
  </r>
  <r>
    <s v="PAT-3262"/>
    <s v="David Rodriguez"/>
    <n v="25"/>
    <x v="0"/>
    <x v="215"/>
    <d v="2024-04-27T00:00:00"/>
    <x v="2"/>
    <x v="16"/>
    <n v="2452.73"/>
    <x v="2"/>
    <n v="0"/>
    <n v="0"/>
    <n v="2452.73"/>
    <n v="3"/>
    <n v="0"/>
    <x v="2"/>
  </r>
  <r>
    <s v="PAT-3263"/>
    <s v="Karen Harris"/>
    <n v="15"/>
    <x v="1"/>
    <x v="216"/>
    <d v="2025-12-21T00:00:00"/>
    <x v="3"/>
    <x v="25"/>
    <n v="1535.75"/>
    <x v="0"/>
    <n v="0.9"/>
    <n v="1382.175"/>
    <n v="153.57499999999996"/>
    <n v="2"/>
    <n v="1535.75"/>
    <x v="4"/>
  </r>
  <r>
    <s v="PAT-3264"/>
    <s v="Michelle Wilson"/>
    <n v="39"/>
    <x v="1"/>
    <x v="217"/>
    <d v="2024-10-27T00:00:00"/>
    <x v="2"/>
    <x v="21"/>
    <n v="600.19000000000005"/>
    <x v="0"/>
    <n v="1"/>
    <n v="600.19000000000005"/>
    <n v="0"/>
    <n v="1"/>
    <n v="600.19000000000005"/>
    <x v="3"/>
  </r>
  <r>
    <s v="PAT-3265"/>
    <s v="Emily Young"/>
    <n v="73"/>
    <x v="1"/>
    <x v="218"/>
    <d v="2024-08-29T00:00:00"/>
    <x v="1"/>
    <x v="15"/>
    <n v="2662.2"/>
    <x v="0"/>
    <n v="1"/>
    <n v="2662.2"/>
    <n v="0"/>
    <n v="2"/>
    <n v="2662.2"/>
    <x v="1"/>
  </r>
  <r>
    <s v="PAT-3266"/>
    <s v="William Clark"/>
    <n v="58"/>
    <x v="0"/>
    <x v="210"/>
    <d v="2025-04-26T00:00:00"/>
    <x v="1"/>
    <x v="2"/>
    <n v="2947.4"/>
    <x v="0"/>
    <n v="0.9"/>
    <n v="2652.6600000000003"/>
    <n v="294.73999999999995"/>
    <n v="3"/>
    <n v="2947.4"/>
    <x v="0"/>
  </r>
  <r>
    <s v="PAT-3267"/>
    <s v="James Hernandez"/>
    <n v="58"/>
    <x v="0"/>
    <x v="219"/>
    <d v="2025-06-10T00:00:00"/>
    <x v="4"/>
    <x v="26"/>
    <n v="6487.43"/>
    <x v="0"/>
    <n v="0.8"/>
    <n v="5189.9440000000004"/>
    <n v="1297.4859999999999"/>
    <n v="3"/>
    <n v="6487.43"/>
    <x v="0"/>
  </r>
  <r>
    <s v="PAT-3268"/>
    <s v="Elizabeth White"/>
    <n v="78"/>
    <x v="1"/>
    <x v="220"/>
    <d v="2025-07-29T00:00:00"/>
    <x v="0"/>
    <x v="29"/>
    <n v="5274.8"/>
    <x v="0"/>
    <n v="0.8"/>
    <n v="4219.84"/>
    <n v="1054.9599999999998"/>
    <n v="4"/>
    <n v="5274.8"/>
    <x v="1"/>
  </r>
  <r>
    <s v="PAT-3269"/>
    <s v="Matthew Martin"/>
    <n v="56"/>
    <x v="0"/>
    <x v="221"/>
    <d v="2025-09-25T00:00:00"/>
    <x v="0"/>
    <x v="0"/>
    <n v="17770.45"/>
    <x v="0"/>
    <n v="1"/>
    <n v="17770.45"/>
    <n v="0"/>
    <n v="6"/>
    <n v="17770.45"/>
    <x v="0"/>
  </r>
  <r>
    <s v="PAT-3270"/>
    <s v="Nancy Garcia"/>
    <n v="50"/>
    <x v="1"/>
    <x v="77"/>
    <d v="2025-12-12T00:00:00"/>
    <x v="4"/>
    <x v="26"/>
    <n v="38493.53"/>
    <x v="0"/>
    <n v="0"/>
    <n v="0"/>
    <n v="38493.53"/>
    <n v="14"/>
    <n v="38493.53"/>
    <x v="3"/>
  </r>
  <r>
    <s v="PAT-3271"/>
    <s v="Betty Anderson"/>
    <n v="71"/>
    <x v="1"/>
    <x v="222"/>
    <d v="2024-03-18T00:00:00"/>
    <x v="2"/>
    <x v="4"/>
    <n v="3136.05"/>
    <x v="0"/>
    <n v="0.9"/>
    <n v="2822.4450000000002"/>
    <n v="313.60499999999996"/>
    <n v="3"/>
    <n v="3136.05"/>
    <x v="1"/>
  </r>
  <r>
    <s v="PAT-3272"/>
    <s v="Emily Moore"/>
    <n v="41"/>
    <x v="1"/>
    <x v="223"/>
    <d v="2025-12-18T00:00:00"/>
    <x v="0"/>
    <x v="19"/>
    <n v="28492.22"/>
    <x v="0"/>
    <n v="0.9"/>
    <n v="25642.998000000003"/>
    <n v="2849.2219999999993"/>
    <n v="10"/>
    <n v="28492.22"/>
    <x v="3"/>
  </r>
  <r>
    <s v="PAT-3273"/>
    <s v="Mark Martinez"/>
    <n v="47"/>
    <x v="0"/>
    <x v="177"/>
    <d v="2025-02-25T00:00:00"/>
    <x v="0"/>
    <x v="20"/>
    <n v="11794.68"/>
    <x v="2"/>
    <n v="0.7"/>
    <n v="8256.2759999999998"/>
    <n v="3538.4040000000005"/>
    <n v="8"/>
    <n v="0"/>
    <x v="3"/>
  </r>
  <r>
    <s v="PAT-3274"/>
    <s v="Elizabeth Lewis"/>
    <n v="16"/>
    <x v="1"/>
    <x v="224"/>
    <d v="2024-12-12T00:00:00"/>
    <x v="3"/>
    <x v="24"/>
    <n v="5980.76"/>
    <x v="0"/>
    <n v="0.8"/>
    <n v="4784.6080000000002"/>
    <n v="1196.1519999999998"/>
    <n v="4"/>
    <n v="5980.76"/>
    <x v="4"/>
  </r>
  <r>
    <s v="PAT-3275"/>
    <s v="Lisa Rodriguez"/>
    <n v="56"/>
    <x v="1"/>
    <x v="103"/>
    <d v="2025-09-23T00:00:00"/>
    <x v="5"/>
    <x v="35"/>
    <n v="16835.150000000001"/>
    <x v="0"/>
    <n v="1"/>
    <n v="16835.150000000001"/>
    <n v="0"/>
    <n v="11"/>
    <n v="16835.150000000001"/>
    <x v="0"/>
  </r>
  <r>
    <s v="PAT-3276"/>
    <s v="Elizabeth Walker"/>
    <n v="69"/>
    <x v="1"/>
    <x v="225"/>
    <d v="2025-10-07T00:00:00"/>
    <x v="2"/>
    <x v="21"/>
    <n v="2837.18"/>
    <x v="2"/>
    <n v="1"/>
    <n v="2837.18"/>
    <n v="0"/>
    <n v="4"/>
    <n v="0"/>
    <x v="1"/>
  </r>
  <r>
    <s v="PAT-3277"/>
    <s v="Kimberly White"/>
    <n v="39"/>
    <x v="1"/>
    <x v="80"/>
    <d v="2025-05-08T00:00:00"/>
    <x v="2"/>
    <x v="5"/>
    <n v="5652.05"/>
    <x v="1"/>
    <n v="0"/>
    <n v="0"/>
    <n v="5652.05"/>
    <n v="7"/>
    <n v="0"/>
    <x v="3"/>
  </r>
  <r>
    <s v="PAT-3278"/>
    <s v="Michelle Hernandez"/>
    <n v="51"/>
    <x v="1"/>
    <x v="226"/>
    <d v="2024-03-05T00:00:00"/>
    <x v="0"/>
    <x v="0"/>
    <n v="15284.52"/>
    <x v="0"/>
    <n v="0.9"/>
    <n v="13756.068000000001"/>
    <n v="1528.4519999999998"/>
    <n v="8"/>
    <n v="15284.52"/>
    <x v="0"/>
  </r>
  <r>
    <s v="PAT-3279"/>
    <s v="Michael Moore"/>
    <n v="22"/>
    <x v="0"/>
    <x v="126"/>
    <d v="2024-06-27T00:00:00"/>
    <x v="2"/>
    <x v="8"/>
    <n v="6837.91"/>
    <x v="1"/>
    <n v="0.8"/>
    <n v="5470.3280000000004"/>
    <n v="1367.5819999999997"/>
    <n v="5"/>
    <n v="0"/>
    <x v="2"/>
  </r>
  <r>
    <s v="PAT-3280"/>
    <s v="Emily Johnson"/>
    <n v="27"/>
    <x v="1"/>
    <x v="227"/>
    <d v="2025-07-25T00:00:00"/>
    <x v="4"/>
    <x v="13"/>
    <n v="16726.009999999998"/>
    <x v="0"/>
    <n v="0.8"/>
    <n v="13380.807999999999"/>
    <n v="3345.2019999999989"/>
    <n v="10"/>
    <n v="16726.009999999998"/>
    <x v="2"/>
  </r>
  <r>
    <s v="PAT-3281"/>
    <s v="Karen Davis"/>
    <n v="85"/>
    <x v="1"/>
    <x v="228"/>
    <d v="2024-09-18T00:00:00"/>
    <x v="0"/>
    <x v="20"/>
    <n v="17937.11"/>
    <x v="2"/>
    <n v="0.7"/>
    <n v="12555.976999999999"/>
    <n v="5381.1330000000007"/>
    <n v="6"/>
    <n v="0"/>
    <x v="1"/>
  </r>
  <r>
    <s v="PAT-3282"/>
    <s v="Anthony Wilson"/>
    <n v="33"/>
    <x v="0"/>
    <x v="111"/>
    <d v="2024-11-19T00:00:00"/>
    <x v="4"/>
    <x v="27"/>
    <n v="27571.59"/>
    <x v="0"/>
    <n v="0.9"/>
    <n v="24814.431"/>
    <n v="2757.1589999999992"/>
    <n v="14"/>
    <n v="27571.59"/>
    <x v="2"/>
  </r>
  <r>
    <s v="PAT-3283"/>
    <s v="Emily Moore"/>
    <n v="83"/>
    <x v="1"/>
    <x v="84"/>
    <d v="2024-10-30T00:00:00"/>
    <x v="0"/>
    <x v="20"/>
    <n v="13621.44"/>
    <x v="2"/>
    <n v="0.7"/>
    <n v="9535.0079999999998"/>
    <n v="4086.4320000000007"/>
    <n v="6"/>
    <n v="0"/>
    <x v="1"/>
  </r>
  <r>
    <s v="PAT-3284"/>
    <s v="Daniel Perez"/>
    <n v="54"/>
    <x v="0"/>
    <x v="229"/>
    <d v="2024-10-19T00:00:00"/>
    <x v="5"/>
    <x v="35"/>
    <n v="7553.52"/>
    <x v="0"/>
    <n v="0.5"/>
    <n v="3776.76"/>
    <n v="3776.76"/>
    <n v="5"/>
    <n v="7553.52"/>
    <x v="0"/>
  </r>
  <r>
    <s v="PAT-3285"/>
    <s v="Michelle Harris"/>
    <n v="53"/>
    <x v="1"/>
    <x v="88"/>
    <d v="2024-11-29T00:00:00"/>
    <x v="4"/>
    <x v="26"/>
    <n v="34671.78"/>
    <x v="0"/>
    <n v="0.6"/>
    <n v="20803.067999999999"/>
    <n v="13868.712"/>
    <n v="13"/>
    <n v="34671.78"/>
    <x v="0"/>
  </r>
  <r>
    <s v="PAT-3286"/>
    <s v="Robert Johnson"/>
    <n v="81"/>
    <x v="0"/>
    <x v="230"/>
    <d v="2025-08-04T00:00:00"/>
    <x v="0"/>
    <x v="20"/>
    <n v="13674.29"/>
    <x v="0"/>
    <n v="0.8"/>
    <n v="10939.432000000001"/>
    <n v="2734.8579999999997"/>
    <n v="5"/>
    <n v="13674.29"/>
    <x v="1"/>
  </r>
  <r>
    <s v="PAT-3287"/>
    <s v="Susan Harris"/>
    <n v="31"/>
    <x v="1"/>
    <x v="24"/>
    <d v="2025-02-28T00:00:00"/>
    <x v="5"/>
    <x v="28"/>
    <n v="18872.25"/>
    <x v="0"/>
    <n v="1"/>
    <n v="18872.25"/>
    <n v="0"/>
    <n v="10"/>
    <n v="18872.25"/>
    <x v="2"/>
  </r>
  <r>
    <s v="PAT-3288"/>
    <s v="Mark Jones"/>
    <n v="22"/>
    <x v="0"/>
    <x v="231"/>
    <d v="2024-12-28T00:00:00"/>
    <x v="2"/>
    <x v="8"/>
    <n v="8363.1"/>
    <x v="2"/>
    <n v="0.6"/>
    <n v="5017.8599999999997"/>
    <n v="3345.2400000000002"/>
    <n v="6"/>
    <n v="0"/>
    <x v="2"/>
  </r>
  <r>
    <s v="PAT-3289"/>
    <s v="Thomas Young"/>
    <n v="1"/>
    <x v="0"/>
    <x v="191"/>
    <d v="2025-12-02T00:00:00"/>
    <x v="3"/>
    <x v="23"/>
    <n v="3886.44"/>
    <x v="0"/>
    <n v="0.9"/>
    <n v="3497.7960000000003"/>
    <n v="388.64399999999989"/>
    <n v="3"/>
    <n v="3886.44"/>
    <x v="4"/>
  </r>
  <r>
    <s v="PAT-3290"/>
    <s v="Joshua Johnson"/>
    <n v="52"/>
    <x v="0"/>
    <x v="232"/>
    <d v="2025-10-01T00:00:00"/>
    <x v="2"/>
    <x v="16"/>
    <n v="2780.94"/>
    <x v="0"/>
    <n v="0.8"/>
    <n v="2224.752"/>
    <n v="556.18799999999987"/>
    <n v="2"/>
    <n v="2780.94"/>
    <x v="0"/>
  </r>
  <r>
    <s v="PAT-3291"/>
    <s v="Joshua Clark"/>
    <n v="11"/>
    <x v="0"/>
    <x v="113"/>
    <d v="2024-04-18T00:00:00"/>
    <x v="3"/>
    <x v="9"/>
    <n v="1277.56"/>
    <x v="1"/>
    <n v="0.7"/>
    <n v="894.29199999999992"/>
    <n v="383.26800000000003"/>
    <n v="1"/>
    <n v="0"/>
    <x v="4"/>
  </r>
  <r>
    <s v="PAT-3292"/>
    <s v="Kimberly Rodriguez"/>
    <n v="6"/>
    <x v="1"/>
    <x v="233"/>
    <d v="2024-02-24T00:00:00"/>
    <x v="3"/>
    <x v="25"/>
    <n v="2921.29"/>
    <x v="2"/>
    <n v="0.5"/>
    <n v="1460.645"/>
    <n v="1460.645"/>
    <n v="3"/>
    <n v="0"/>
    <x v="4"/>
  </r>
  <r>
    <s v="PAT-3293"/>
    <s v="Nancy Johnson"/>
    <n v="74"/>
    <x v="1"/>
    <x v="234"/>
    <d v="2024-07-16T00:00:00"/>
    <x v="1"/>
    <x v="3"/>
    <n v="4516.54"/>
    <x v="1"/>
    <n v="0.7"/>
    <n v="3161.578"/>
    <n v="1354.9620000000002"/>
    <n v="3"/>
    <n v="0"/>
    <x v="1"/>
  </r>
  <r>
    <s v="PAT-3294"/>
    <s v="Michelle Martin"/>
    <n v="37"/>
    <x v="1"/>
    <x v="54"/>
    <d v="2024-04-03T00:00:00"/>
    <x v="4"/>
    <x v="26"/>
    <n v="15943.22"/>
    <x v="0"/>
    <n v="0.8"/>
    <n v="12754.576000000001"/>
    <n v="3188.6439999999993"/>
    <n v="13"/>
    <n v="15943.22"/>
    <x v="3"/>
  </r>
  <r>
    <s v="PAT-3295"/>
    <s v="Michelle Lee"/>
    <n v="84"/>
    <x v="1"/>
    <x v="235"/>
    <d v="2024-06-03T00:00:00"/>
    <x v="0"/>
    <x v="1"/>
    <n v="6113"/>
    <x v="0"/>
    <n v="0.8"/>
    <n v="4890.4000000000005"/>
    <n v="1222.5999999999997"/>
    <n v="3"/>
    <n v="6113"/>
    <x v="1"/>
  </r>
  <r>
    <s v="PAT-3296"/>
    <s v="Richard Young"/>
    <n v="70"/>
    <x v="0"/>
    <x v="236"/>
    <d v="2024-08-06T00:00:00"/>
    <x v="1"/>
    <x v="7"/>
    <n v="4356.16"/>
    <x v="0"/>
    <n v="0"/>
    <n v="0"/>
    <n v="4356.16"/>
    <n v="3"/>
    <n v="4356.16"/>
    <x v="1"/>
  </r>
  <r>
    <s v="PAT-3297"/>
    <s v="Thomas Walker"/>
    <n v="18"/>
    <x v="0"/>
    <x v="237"/>
    <d v="2025-05-20T00:00:00"/>
    <x v="1"/>
    <x v="2"/>
    <n v="2810.17"/>
    <x v="0"/>
    <n v="0.9"/>
    <n v="2529.1530000000002"/>
    <n v="281.01699999999994"/>
    <n v="3"/>
    <n v="2810.17"/>
    <x v="2"/>
  </r>
  <r>
    <s v="PAT-3298"/>
    <s v="Kimberly Smith"/>
    <n v="41"/>
    <x v="1"/>
    <x v="238"/>
    <d v="2024-09-28T00:00:00"/>
    <x v="2"/>
    <x v="16"/>
    <n v="3049.69"/>
    <x v="0"/>
    <n v="0.6"/>
    <n v="1829.8140000000001"/>
    <n v="1219.876"/>
    <n v="4"/>
    <n v="3049.69"/>
    <x v="3"/>
  </r>
  <r>
    <s v="PAT-3299"/>
    <s v="Betty Robinson"/>
    <n v="70"/>
    <x v="1"/>
    <x v="239"/>
    <d v="2025-04-19T00:00:00"/>
    <x v="2"/>
    <x v="16"/>
    <n v="2096.4899999999998"/>
    <x v="1"/>
    <n v="0.6"/>
    <n v="1257.8939999999998"/>
    <n v="838.596"/>
    <n v="3"/>
    <n v="0"/>
    <x v="1"/>
  </r>
  <r>
    <s v="PAT-3300"/>
    <s v="Elizabeth Brown"/>
    <n v="44"/>
    <x v="1"/>
    <x v="41"/>
    <d v="2025-09-10T00:00:00"/>
    <x v="4"/>
    <x v="18"/>
    <n v="12341.99"/>
    <x v="0"/>
    <n v="0.7"/>
    <n v="8639.393"/>
    <n v="3702.5970000000007"/>
    <n v="5"/>
    <n v="12341.99"/>
    <x v="3"/>
  </r>
  <r>
    <s v="PAT-3301"/>
    <s v="Anthony Garcia"/>
    <n v="31"/>
    <x v="0"/>
    <x v="240"/>
    <d v="2025-08-16T00:00:00"/>
    <x v="1"/>
    <x v="36"/>
    <n v="3445.79"/>
    <x v="0"/>
    <n v="0.9"/>
    <n v="3101.2110000000002"/>
    <n v="344.57899999999989"/>
    <n v="3"/>
    <n v="3445.79"/>
    <x v="2"/>
  </r>
  <r>
    <s v="PAT-3302"/>
    <s v="Barbara Davis"/>
    <n v="68"/>
    <x v="1"/>
    <x v="241"/>
    <d v="2024-04-16T00:00:00"/>
    <x v="0"/>
    <x v="20"/>
    <n v="4176.93"/>
    <x v="0"/>
    <n v="0"/>
    <n v="0"/>
    <n v="4176.93"/>
    <n v="3"/>
    <n v="4176.93"/>
    <x v="1"/>
  </r>
  <r>
    <s v="PAT-3303"/>
    <s v="William Rodriguez"/>
    <n v="50"/>
    <x v="0"/>
    <x v="242"/>
    <d v="2026-01-02T00:00:00"/>
    <x v="0"/>
    <x v="19"/>
    <n v="10022.5"/>
    <x v="1"/>
    <n v="0.7"/>
    <n v="7015.75"/>
    <n v="3006.7500000000005"/>
    <n v="5"/>
    <n v="0"/>
    <x v="3"/>
  </r>
  <r>
    <s v="PAT-3304"/>
    <s v="Robert Lee"/>
    <n v="57"/>
    <x v="0"/>
    <x v="243"/>
    <d v="2024-02-27T00:00:00"/>
    <x v="5"/>
    <x v="28"/>
    <n v="13346.03"/>
    <x v="0"/>
    <n v="0.6"/>
    <n v="8007.6180000000004"/>
    <n v="5338.4120000000003"/>
    <n v="7"/>
    <n v="13346.03"/>
    <x v="0"/>
  </r>
  <r>
    <s v="PAT-3305"/>
    <s v="Karen Williams"/>
    <n v="67"/>
    <x v="1"/>
    <x v="103"/>
    <d v="2025-09-18T00:00:00"/>
    <x v="4"/>
    <x v="18"/>
    <n v="12949.84"/>
    <x v="0"/>
    <n v="0.8"/>
    <n v="10359.872000000001"/>
    <n v="2589.9679999999994"/>
    <n v="6"/>
    <n v="12949.84"/>
    <x v="1"/>
  </r>
  <r>
    <s v="PAT-3306"/>
    <s v="Barbara Clark"/>
    <n v="76"/>
    <x v="1"/>
    <x v="244"/>
    <d v="2025-03-31T00:00:00"/>
    <x v="5"/>
    <x v="12"/>
    <n v="5780.36"/>
    <x v="2"/>
    <n v="0.9"/>
    <n v="5202.3239999999996"/>
    <n v="578.03599999999983"/>
    <n v="3"/>
    <n v="0"/>
    <x v="1"/>
  </r>
  <r>
    <s v="PAT-3307"/>
    <s v="Matthew Anderson"/>
    <n v="25"/>
    <x v="0"/>
    <x v="245"/>
    <d v="2025-10-07T00:00:00"/>
    <x v="4"/>
    <x v="18"/>
    <n v="12079.5"/>
    <x v="1"/>
    <n v="0.6"/>
    <n v="7247.7"/>
    <n v="4831.8"/>
    <n v="9"/>
    <n v="0"/>
    <x v="2"/>
  </r>
  <r>
    <s v="PAT-3308"/>
    <s v="Joseph Moore"/>
    <n v="40"/>
    <x v="0"/>
    <x v="246"/>
    <d v="2024-11-26T00:00:00"/>
    <x v="2"/>
    <x v="10"/>
    <n v="7389.52"/>
    <x v="1"/>
    <n v="0.8"/>
    <n v="5911.6160000000009"/>
    <n v="1477.9039999999998"/>
    <n v="7"/>
    <n v="0"/>
    <x v="3"/>
  </r>
  <r>
    <s v="PAT-3309"/>
    <s v="David Thomas"/>
    <n v="78"/>
    <x v="0"/>
    <x v="247"/>
    <d v="2025-08-22T00:00:00"/>
    <x v="0"/>
    <x v="0"/>
    <n v="5108.6400000000003"/>
    <x v="1"/>
    <n v="0.6"/>
    <n v="3065.1840000000002"/>
    <n v="2043.4560000000001"/>
    <n v="3"/>
    <n v="0"/>
    <x v="1"/>
  </r>
  <r>
    <s v="PAT-3310"/>
    <s v="Daniel Johnson"/>
    <n v="30"/>
    <x v="0"/>
    <x v="64"/>
    <d v="2024-05-26T00:00:00"/>
    <x v="1"/>
    <x v="7"/>
    <n v="3176.54"/>
    <x v="0"/>
    <n v="0.8"/>
    <n v="2541.232"/>
    <n v="635.30799999999988"/>
    <n v="2"/>
    <n v="3176.54"/>
    <x v="2"/>
  </r>
  <r>
    <s v="PAT-3311"/>
    <s v="Anthony Johnson"/>
    <n v="54"/>
    <x v="0"/>
    <x v="248"/>
    <d v="2024-09-17T00:00:00"/>
    <x v="4"/>
    <x v="26"/>
    <n v="17049.400000000001"/>
    <x v="2"/>
    <n v="1"/>
    <n v="17049.400000000001"/>
    <n v="0"/>
    <n v="8"/>
    <n v="0"/>
    <x v="0"/>
  </r>
  <r>
    <s v="PAT-3312"/>
    <s v="Carol Brown"/>
    <n v="67"/>
    <x v="1"/>
    <x v="69"/>
    <d v="2025-11-09T00:00:00"/>
    <x v="1"/>
    <x v="36"/>
    <n v="1997.86"/>
    <x v="0"/>
    <n v="0.7"/>
    <n v="1398.502"/>
    <n v="599.35800000000006"/>
    <n v="1"/>
    <n v="1997.86"/>
    <x v="1"/>
  </r>
  <r>
    <s v="PAT-3313"/>
    <s v="Mark Brown"/>
    <n v="43"/>
    <x v="0"/>
    <x v="249"/>
    <d v="2024-08-19T00:00:00"/>
    <x v="2"/>
    <x v="8"/>
    <n v="4991.59"/>
    <x v="2"/>
    <n v="0"/>
    <n v="0"/>
    <n v="4991.59"/>
    <n v="4"/>
    <n v="0"/>
    <x v="3"/>
  </r>
  <r>
    <s v="PAT-3314"/>
    <s v="Elizabeth Taylor"/>
    <n v="70"/>
    <x v="1"/>
    <x v="13"/>
    <d v="2024-08-29T00:00:00"/>
    <x v="5"/>
    <x v="28"/>
    <n v="17095.62"/>
    <x v="0"/>
    <n v="0.9"/>
    <n v="15386.057999999999"/>
    <n v="1709.5619999999994"/>
    <n v="9"/>
    <n v="17095.62"/>
    <x v="1"/>
  </r>
  <r>
    <s v="PAT-3315"/>
    <s v="Brian Lewis"/>
    <n v="64"/>
    <x v="0"/>
    <x v="250"/>
    <d v="2025-08-20T00:00:00"/>
    <x v="1"/>
    <x v="31"/>
    <n v="4730.04"/>
    <x v="0"/>
    <n v="0.8"/>
    <n v="3784.0320000000002"/>
    <n v="946.00799999999981"/>
    <n v="2"/>
    <n v="4730.04"/>
    <x v="0"/>
  </r>
  <r>
    <s v="PAT-3316"/>
    <s v="Joseph Perez"/>
    <n v="56"/>
    <x v="0"/>
    <x v="238"/>
    <d v="2024-10-01T00:00:00"/>
    <x v="2"/>
    <x v="4"/>
    <n v="10303.59"/>
    <x v="1"/>
    <n v="0.7"/>
    <n v="7212.5129999999999"/>
    <n v="3091.0770000000007"/>
    <n v="7"/>
    <n v="0"/>
    <x v="0"/>
  </r>
  <r>
    <s v="PAT-3317"/>
    <s v="Anthony Walker"/>
    <n v="56"/>
    <x v="0"/>
    <x v="251"/>
    <d v="2024-06-10T00:00:00"/>
    <x v="2"/>
    <x v="21"/>
    <n v="7120.81"/>
    <x v="2"/>
    <n v="0.8"/>
    <n v="5696.648000000001"/>
    <n v="1424.1619999999998"/>
    <n v="6"/>
    <n v="0"/>
    <x v="0"/>
  </r>
  <r>
    <s v="PAT-3318"/>
    <s v="Brian Lewis"/>
    <n v="38"/>
    <x v="0"/>
    <x v="252"/>
    <d v="2025-07-13T00:00:00"/>
    <x v="1"/>
    <x v="7"/>
    <n v="1418.29"/>
    <x v="0"/>
    <n v="0.8"/>
    <n v="1134.6320000000001"/>
    <n v="283.6579999999999"/>
    <n v="1"/>
    <n v="1418.29"/>
    <x v="3"/>
  </r>
  <r>
    <s v="PAT-3319"/>
    <s v="Brian Ramirez"/>
    <n v="77"/>
    <x v="0"/>
    <x v="59"/>
    <d v="2024-04-26T00:00:00"/>
    <x v="1"/>
    <x v="32"/>
    <n v="4818.3999999999996"/>
    <x v="0"/>
    <n v="0.6"/>
    <n v="2891.0399999999995"/>
    <n v="1927.36"/>
    <n v="3"/>
    <n v="4818.3999999999996"/>
    <x v="1"/>
  </r>
  <r>
    <s v="PAT-3320"/>
    <s v="James Wilson"/>
    <n v="51"/>
    <x v="0"/>
    <x v="233"/>
    <d v="2024-02-22T00:00:00"/>
    <x v="1"/>
    <x v="2"/>
    <n v="1333.29"/>
    <x v="0"/>
    <n v="0.7"/>
    <n v="933.30299999999988"/>
    <n v="399.98700000000002"/>
    <n v="1"/>
    <n v="1333.29"/>
    <x v="0"/>
  </r>
  <r>
    <s v="PAT-3321"/>
    <s v="Ashley Jackson"/>
    <n v="34"/>
    <x v="1"/>
    <x v="253"/>
    <d v="2025-03-28T00:00:00"/>
    <x v="1"/>
    <x v="32"/>
    <n v="1437.43"/>
    <x v="0"/>
    <n v="1"/>
    <n v="1437.43"/>
    <n v="0"/>
    <n v="1"/>
    <n v="1437.43"/>
    <x v="2"/>
  </r>
  <r>
    <s v="PAT-3322"/>
    <s v="James Thomas"/>
    <n v="64"/>
    <x v="0"/>
    <x v="254"/>
    <d v="2025-06-14T00:00:00"/>
    <x v="2"/>
    <x v="16"/>
    <n v="2608.29"/>
    <x v="0"/>
    <n v="0"/>
    <n v="0"/>
    <n v="2608.29"/>
    <n v="3"/>
    <n v="2608.29"/>
    <x v="0"/>
  </r>
  <r>
    <s v="PAT-3323"/>
    <s v="Susan Lee"/>
    <n v="8"/>
    <x v="1"/>
    <x v="255"/>
    <d v="2024-05-18T00:00:00"/>
    <x v="3"/>
    <x v="25"/>
    <n v="6107.32"/>
    <x v="0"/>
    <n v="0.8"/>
    <n v="4885.8559999999998"/>
    <n v="1221.4639999999997"/>
    <n v="4"/>
    <n v="6107.32"/>
    <x v="4"/>
  </r>
  <r>
    <s v="PAT-3324"/>
    <s v="Betty Jones"/>
    <n v="5"/>
    <x v="1"/>
    <x v="256"/>
    <d v="2024-03-09T00:00:00"/>
    <x v="3"/>
    <x v="23"/>
    <n v="763.74"/>
    <x v="1"/>
    <n v="0.9"/>
    <n v="687.36599999999999"/>
    <n v="76.373999999999981"/>
    <n v="1"/>
    <n v="0"/>
    <x v="4"/>
  </r>
  <r>
    <s v="PAT-3325"/>
    <s v="Lisa Martinez"/>
    <n v="3"/>
    <x v="1"/>
    <x v="257"/>
    <d v="2025-06-30T00:00:00"/>
    <x v="3"/>
    <x v="24"/>
    <n v="8208.35"/>
    <x v="2"/>
    <n v="0"/>
    <n v="0"/>
    <n v="8208.35"/>
    <n v="5"/>
    <n v="0"/>
    <x v="4"/>
  </r>
  <r>
    <s v="PAT-3326"/>
    <s v="Ashley Martin"/>
    <n v="26"/>
    <x v="1"/>
    <x v="258"/>
    <d v="2024-07-25T00:00:00"/>
    <x v="4"/>
    <x v="26"/>
    <n v="20575.84"/>
    <x v="1"/>
    <n v="0.8"/>
    <n v="16460.672000000002"/>
    <n v="4115.1679999999988"/>
    <n v="14"/>
    <n v="0"/>
    <x v="2"/>
  </r>
  <r>
    <s v="PAT-3327"/>
    <s v="Kevin Lopez"/>
    <n v="1"/>
    <x v="0"/>
    <x v="220"/>
    <d v="2025-07-28T00:00:00"/>
    <x v="3"/>
    <x v="22"/>
    <n v="5295.19"/>
    <x v="0"/>
    <n v="0.9"/>
    <n v="4765.6709999999994"/>
    <n v="529.51899999999989"/>
    <n v="3"/>
    <n v="5295.19"/>
    <x v="4"/>
  </r>
  <r>
    <s v="PAT-3328"/>
    <s v="Betty Harris"/>
    <n v="35"/>
    <x v="1"/>
    <x v="259"/>
    <d v="2025-11-21T00:00:00"/>
    <x v="4"/>
    <x v="13"/>
    <n v="23024.560000000001"/>
    <x v="1"/>
    <n v="0.7"/>
    <n v="16117.191999999999"/>
    <n v="6907.3680000000013"/>
    <n v="9"/>
    <n v="0"/>
    <x v="2"/>
  </r>
  <r>
    <s v="PAT-3329"/>
    <s v="Linda Jackson"/>
    <n v="33"/>
    <x v="1"/>
    <x v="55"/>
    <d v="2025-05-08T00:00:00"/>
    <x v="1"/>
    <x v="36"/>
    <n v="7452.68"/>
    <x v="0"/>
    <n v="0.7"/>
    <n v="5216.8760000000002"/>
    <n v="2235.8040000000005"/>
    <n v="3"/>
    <n v="7452.68"/>
    <x v="2"/>
  </r>
  <r>
    <s v="PAT-3330"/>
    <s v="Matthew Clark"/>
    <n v="80"/>
    <x v="0"/>
    <x v="260"/>
    <d v="2024-03-11T00:00:00"/>
    <x v="5"/>
    <x v="34"/>
    <n v="10908.13"/>
    <x v="0"/>
    <n v="0.6"/>
    <n v="6544.8779999999997"/>
    <n v="4363.2519999999995"/>
    <n v="8"/>
    <n v="10908.13"/>
    <x v="1"/>
  </r>
  <r>
    <s v="PAT-3331"/>
    <s v="Christopher Johnson"/>
    <n v="27"/>
    <x v="0"/>
    <x v="59"/>
    <d v="2024-04-29T00:00:00"/>
    <x v="2"/>
    <x v="21"/>
    <n v="7501.37"/>
    <x v="2"/>
    <n v="0.7"/>
    <n v="5250.9589999999998"/>
    <n v="2250.4110000000005"/>
    <n v="6"/>
    <n v="0"/>
    <x v="2"/>
  </r>
  <r>
    <s v="PAT-3332"/>
    <s v="Sarah Davis"/>
    <n v="61"/>
    <x v="1"/>
    <x v="58"/>
    <d v="2025-04-25T00:00:00"/>
    <x v="1"/>
    <x v="36"/>
    <n v="1264.69"/>
    <x v="0"/>
    <n v="0.9"/>
    <n v="1138.221"/>
    <n v="126.46899999999998"/>
    <n v="1"/>
    <n v="1264.69"/>
    <x v="0"/>
  </r>
  <r>
    <s v="PAT-3333"/>
    <s v="Susan Martin"/>
    <n v="54"/>
    <x v="1"/>
    <x v="102"/>
    <d v="2024-05-19T00:00:00"/>
    <x v="4"/>
    <x v="13"/>
    <n v="26730.35"/>
    <x v="1"/>
    <n v="0"/>
    <n v="0"/>
    <n v="26730.35"/>
    <n v="11"/>
    <n v="0"/>
    <x v="0"/>
  </r>
  <r>
    <s v="PAT-3334"/>
    <s v="Michelle Garcia"/>
    <n v="57"/>
    <x v="1"/>
    <x v="261"/>
    <d v="2025-04-02T00:00:00"/>
    <x v="5"/>
    <x v="17"/>
    <n v="6655.97"/>
    <x v="1"/>
    <n v="0.6"/>
    <n v="3993.5819999999999"/>
    <n v="2662.3880000000004"/>
    <n v="3"/>
    <n v="0"/>
    <x v="0"/>
  </r>
  <r>
    <s v="PAT-3335"/>
    <s v="Matthew Garcia"/>
    <n v="63"/>
    <x v="0"/>
    <x v="260"/>
    <d v="2024-03-11T00:00:00"/>
    <x v="0"/>
    <x v="20"/>
    <n v="11856.84"/>
    <x v="1"/>
    <n v="0.7"/>
    <n v="8299.7880000000005"/>
    <n v="3557.0520000000006"/>
    <n v="8"/>
    <n v="0"/>
    <x v="0"/>
  </r>
  <r>
    <s v="PAT-3336"/>
    <s v="David Clark"/>
    <n v="45"/>
    <x v="0"/>
    <x v="262"/>
    <d v="2025-04-21T00:00:00"/>
    <x v="1"/>
    <x v="36"/>
    <n v="1625.38"/>
    <x v="0"/>
    <n v="0.8"/>
    <n v="1300.3040000000001"/>
    <n v="325.07599999999996"/>
    <n v="1"/>
    <n v="1625.38"/>
    <x v="3"/>
  </r>
  <r>
    <s v="PAT-3337"/>
    <s v="Andrew Moore"/>
    <n v="71"/>
    <x v="0"/>
    <x v="263"/>
    <d v="2025-12-11T00:00:00"/>
    <x v="0"/>
    <x v="6"/>
    <n v="10880.84"/>
    <x v="0"/>
    <n v="0.8"/>
    <n v="8704.6720000000005"/>
    <n v="2176.1679999999997"/>
    <n v="6"/>
    <n v="10880.84"/>
    <x v="1"/>
  </r>
  <r>
    <s v="PAT-3338"/>
    <s v="Christopher Davis"/>
    <n v="69"/>
    <x v="0"/>
    <x v="264"/>
    <d v="2025-10-11T00:00:00"/>
    <x v="2"/>
    <x v="21"/>
    <n v="1151.51"/>
    <x v="1"/>
    <n v="0.9"/>
    <n v="1036.3589999999999"/>
    <n v="115.15099999999997"/>
    <n v="1"/>
    <n v="0"/>
    <x v="1"/>
  </r>
  <r>
    <s v="PAT-3339"/>
    <s v="Elizabeth Harris"/>
    <n v="43"/>
    <x v="1"/>
    <x v="265"/>
    <d v="2024-05-29T00:00:00"/>
    <x v="0"/>
    <x v="6"/>
    <n v="13660.38"/>
    <x v="1"/>
    <n v="0.5"/>
    <n v="6830.19"/>
    <n v="6830.19"/>
    <n v="7"/>
    <n v="0"/>
    <x v="3"/>
  </r>
  <r>
    <s v="PAT-3340"/>
    <s v="William Perez"/>
    <n v="21"/>
    <x v="0"/>
    <x v="266"/>
    <d v="2025-01-19T00:00:00"/>
    <x v="2"/>
    <x v="21"/>
    <n v="5372.91"/>
    <x v="0"/>
    <n v="0.9"/>
    <n v="4835.6189999999997"/>
    <n v="537.29099999999983"/>
    <n v="4"/>
    <n v="5372.91"/>
    <x v="2"/>
  </r>
  <r>
    <s v="PAT-3341"/>
    <s v="Kenneth Smith"/>
    <n v="16"/>
    <x v="0"/>
    <x v="267"/>
    <d v="2024-03-09T00:00:00"/>
    <x v="3"/>
    <x v="37"/>
    <n v="5108.66"/>
    <x v="0"/>
    <n v="0.8"/>
    <n v="4086.9279999999999"/>
    <n v="1021.7319999999997"/>
    <n v="3"/>
    <n v="5108.66"/>
    <x v="4"/>
  </r>
  <r>
    <s v="PAT-3342"/>
    <s v="Sarah Robinson"/>
    <n v="72"/>
    <x v="1"/>
    <x v="80"/>
    <d v="2025-05-04T00:00:00"/>
    <x v="1"/>
    <x v="32"/>
    <n v="4730.3599999999997"/>
    <x v="0"/>
    <n v="0.9"/>
    <n v="4257.3239999999996"/>
    <n v="473.03599999999989"/>
    <n v="3"/>
    <n v="4730.3599999999997"/>
    <x v="1"/>
  </r>
  <r>
    <s v="PAT-3343"/>
    <s v="Jennifer Lopez"/>
    <n v="57"/>
    <x v="1"/>
    <x v="268"/>
    <d v="2025-01-16T00:00:00"/>
    <x v="2"/>
    <x v="8"/>
    <n v="4389.91"/>
    <x v="0"/>
    <n v="0.8"/>
    <n v="3511.9279999999999"/>
    <n v="877.98199999999974"/>
    <n v="3"/>
    <n v="4389.91"/>
    <x v="0"/>
  </r>
  <r>
    <s v="PAT-3344"/>
    <s v="Sandra Robinson"/>
    <n v="39"/>
    <x v="1"/>
    <x v="269"/>
    <d v="2025-09-14T00:00:00"/>
    <x v="4"/>
    <x v="13"/>
    <n v="8536.89"/>
    <x v="0"/>
    <n v="0.8"/>
    <n v="6829.5119999999997"/>
    <n v="1707.3779999999995"/>
    <n v="8"/>
    <n v="8536.89"/>
    <x v="3"/>
  </r>
  <r>
    <s v="PAT-3345"/>
    <s v="Kimberly White"/>
    <n v="12"/>
    <x v="1"/>
    <x v="200"/>
    <d v="2024-10-18T00:00:00"/>
    <x v="3"/>
    <x v="25"/>
    <n v="3347.44"/>
    <x v="2"/>
    <n v="0"/>
    <n v="0"/>
    <n v="3347.44"/>
    <n v="5"/>
    <n v="0"/>
    <x v="4"/>
  </r>
  <r>
    <s v="PAT-3346"/>
    <s v="Susan Jackson"/>
    <n v="57"/>
    <x v="1"/>
    <x v="270"/>
    <d v="2025-10-13T00:00:00"/>
    <x v="0"/>
    <x v="29"/>
    <n v="15565.46"/>
    <x v="1"/>
    <n v="0.7"/>
    <n v="10895.821999999998"/>
    <n v="4669.6380000000008"/>
    <n v="6"/>
    <n v="0"/>
    <x v="0"/>
  </r>
  <r>
    <s v="PAT-3347"/>
    <s v="Robert Martin"/>
    <n v="52"/>
    <x v="0"/>
    <x v="40"/>
    <d v="2025-11-25T00:00:00"/>
    <x v="2"/>
    <x v="21"/>
    <n v="4507.1400000000003"/>
    <x v="2"/>
    <n v="0.8"/>
    <n v="3605.7120000000004"/>
    <n v="901.42799999999988"/>
    <n v="7"/>
    <n v="0"/>
    <x v="0"/>
  </r>
  <r>
    <s v="PAT-3348"/>
    <s v="Brian Robinson"/>
    <n v="62"/>
    <x v="0"/>
    <x v="271"/>
    <d v="2025-07-17T00:00:00"/>
    <x v="0"/>
    <x v="0"/>
    <n v="10788.07"/>
    <x v="1"/>
    <n v="0.7"/>
    <n v="7551.6489999999994"/>
    <n v="3236.4210000000003"/>
    <n v="7"/>
    <n v="0"/>
    <x v="0"/>
  </r>
  <r>
    <s v="PAT-3349"/>
    <s v="Andrew Lewis"/>
    <n v="46"/>
    <x v="0"/>
    <x v="272"/>
    <d v="2024-05-28T00:00:00"/>
    <x v="0"/>
    <x v="1"/>
    <n v="26034.080000000002"/>
    <x v="0"/>
    <n v="0.8"/>
    <n v="20827.264000000003"/>
    <n v="5206.8159999999989"/>
    <n v="9"/>
    <n v="26034.080000000002"/>
    <x v="3"/>
  </r>
  <r>
    <s v="PAT-3350"/>
    <s v="Kenneth Taylor"/>
    <n v="44"/>
    <x v="0"/>
    <x v="273"/>
    <d v="2024-08-29T00:00:00"/>
    <x v="0"/>
    <x v="20"/>
    <n v="10409.19"/>
    <x v="2"/>
    <n v="0.9"/>
    <n v="9368.2710000000006"/>
    <n v="1040.9189999999999"/>
    <n v="8"/>
    <n v="0"/>
    <x v="3"/>
  </r>
  <r>
    <s v="PAT-3351"/>
    <s v="Jennifer Hernandez"/>
    <n v="62"/>
    <x v="1"/>
    <x v="274"/>
    <d v="2024-08-03T00:00:00"/>
    <x v="1"/>
    <x v="36"/>
    <n v="1428.8"/>
    <x v="1"/>
    <n v="0.8"/>
    <n v="1143.04"/>
    <n v="285.75999999999993"/>
    <n v="1"/>
    <n v="0"/>
    <x v="0"/>
  </r>
  <r>
    <s v="PAT-3352"/>
    <s v="Sarah Anderson"/>
    <n v="73"/>
    <x v="1"/>
    <x v="136"/>
    <d v="2025-05-25T00:00:00"/>
    <x v="1"/>
    <x v="31"/>
    <n v="6491.42"/>
    <x v="2"/>
    <n v="0"/>
    <n v="0"/>
    <n v="6491.42"/>
    <n v="3"/>
    <n v="0"/>
    <x v="1"/>
  </r>
  <r>
    <s v="PAT-3353"/>
    <s v="Mary Martinez"/>
    <n v="80"/>
    <x v="1"/>
    <x v="275"/>
    <d v="2025-03-23T00:00:00"/>
    <x v="1"/>
    <x v="32"/>
    <n v="2816.11"/>
    <x v="2"/>
    <n v="0.8"/>
    <n v="2252.8880000000004"/>
    <n v="563.22199999999987"/>
    <n v="3"/>
    <n v="0"/>
    <x v="1"/>
  </r>
  <r>
    <s v="PAT-3354"/>
    <s v="Matthew Clark"/>
    <n v="12"/>
    <x v="0"/>
    <x v="77"/>
    <d v="2025-12-03T00:00:00"/>
    <x v="3"/>
    <x v="23"/>
    <n v="6337.74"/>
    <x v="1"/>
    <n v="0.6"/>
    <n v="3802.6439999999998"/>
    <n v="2535.096"/>
    <n v="5"/>
    <n v="0"/>
    <x v="4"/>
  </r>
  <r>
    <s v="PAT-3355"/>
    <s v="Lisa Thomas"/>
    <n v="48"/>
    <x v="1"/>
    <x v="276"/>
    <d v="2024-04-23T00:00:00"/>
    <x v="2"/>
    <x v="16"/>
    <n v="8162.88"/>
    <x v="0"/>
    <n v="0.6"/>
    <n v="4897.7280000000001"/>
    <n v="3265.152"/>
    <n v="7"/>
    <n v="8162.88"/>
    <x v="3"/>
  </r>
  <r>
    <s v="PAT-3356"/>
    <s v="Thomas Williams"/>
    <n v="69"/>
    <x v="0"/>
    <x v="24"/>
    <d v="2025-02-20T00:00:00"/>
    <x v="2"/>
    <x v="5"/>
    <n v="2495.13"/>
    <x v="0"/>
    <n v="0.7"/>
    <n v="1746.5909999999999"/>
    <n v="748.5390000000001"/>
    <n v="2"/>
    <n v="2495.13"/>
    <x v="1"/>
  </r>
  <r>
    <s v="PAT-3357"/>
    <s v="Ashley Martinez"/>
    <n v="16"/>
    <x v="1"/>
    <x v="277"/>
    <d v="2024-06-12T00:00:00"/>
    <x v="3"/>
    <x v="23"/>
    <n v="1054.1400000000001"/>
    <x v="1"/>
    <n v="0.5"/>
    <n v="527.07000000000005"/>
    <n v="527.07000000000005"/>
    <n v="1"/>
    <n v="0"/>
    <x v="4"/>
  </r>
  <r>
    <s v="PAT-3358"/>
    <s v="Mary Ramirez"/>
    <n v="73"/>
    <x v="1"/>
    <x v="261"/>
    <d v="2025-03-31T00:00:00"/>
    <x v="1"/>
    <x v="15"/>
    <n v="1251.25"/>
    <x v="0"/>
    <n v="0.8"/>
    <n v="1001"/>
    <n v="250.24999999999994"/>
    <n v="1"/>
    <n v="1251.25"/>
    <x v="1"/>
  </r>
  <r>
    <s v="PAT-3359"/>
    <s v="Kenneth Miller"/>
    <n v="53"/>
    <x v="0"/>
    <x v="275"/>
    <d v="2025-03-26T00:00:00"/>
    <x v="0"/>
    <x v="20"/>
    <n v="16598.080000000002"/>
    <x v="0"/>
    <n v="0.8"/>
    <n v="13278.464000000002"/>
    <n v="3319.6159999999995"/>
    <n v="6"/>
    <n v="16598.080000000002"/>
    <x v="0"/>
  </r>
  <r>
    <s v="PAT-3360"/>
    <s v="Emily Hernandez"/>
    <n v="46"/>
    <x v="1"/>
    <x v="278"/>
    <d v="2024-10-08T00:00:00"/>
    <x v="2"/>
    <x v="33"/>
    <n v="4875.57"/>
    <x v="0"/>
    <n v="0.9"/>
    <n v="4388.0129999999999"/>
    <n v="487.55699999999985"/>
    <n v="4"/>
    <n v="4875.57"/>
    <x v="3"/>
  </r>
  <r>
    <s v="PAT-3361"/>
    <s v="Paul Perez"/>
    <n v="53"/>
    <x v="0"/>
    <x v="279"/>
    <d v="2025-12-07T00:00:00"/>
    <x v="5"/>
    <x v="34"/>
    <n v="12181.3"/>
    <x v="0"/>
    <n v="0.5"/>
    <n v="6090.65"/>
    <n v="6090.65"/>
    <n v="5"/>
    <n v="12181.3"/>
    <x v="0"/>
  </r>
  <r>
    <s v="PAT-3362"/>
    <s v="James Harris"/>
    <n v="59"/>
    <x v="0"/>
    <x v="280"/>
    <d v="2025-07-25T00:00:00"/>
    <x v="1"/>
    <x v="31"/>
    <n v="2262.27"/>
    <x v="0"/>
    <n v="1"/>
    <n v="2262.27"/>
    <n v="0"/>
    <n v="1"/>
    <n v="2262.27"/>
    <x v="0"/>
  </r>
  <r>
    <s v="PAT-3363"/>
    <s v="Kevin Thompson"/>
    <n v="77"/>
    <x v="0"/>
    <x v="281"/>
    <d v="2025-05-16T00:00:00"/>
    <x v="5"/>
    <x v="28"/>
    <n v="15249.23"/>
    <x v="0"/>
    <n v="0.6"/>
    <n v="9149.5379999999986"/>
    <n v="6099.692"/>
    <n v="6"/>
    <n v="15249.23"/>
    <x v="1"/>
  </r>
  <r>
    <s v="PAT-3364"/>
    <s v="Elizabeth Hernandez"/>
    <n v="21"/>
    <x v="1"/>
    <x v="282"/>
    <d v="2024-02-06T00:00:00"/>
    <x v="2"/>
    <x v="16"/>
    <n v="3947.95"/>
    <x v="0"/>
    <n v="0.8"/>
    <n v="3158.36"/>
    <n v="789.5899999999998"/>
    <n v="3"/>
    <n v="3947.95"/>
    <x v="2"/>
  </r>
  <r>
    <s v="PAT-3365"/>
    <s v="Anthony White"/>
    <n v="59"/>
    <x v="0"/>
    <x v="283"/>
    <d v="2024-11-09T00:00:00"/>
    <x v="4"/>
    <x v="11"/>
    <n v="35549.129999999997"/>
    <x v="1"/>
    <n v="1"/>
    <n v="35549.129999999997"/>
    <n v="0"/>
    <n v="13"/>
    <n v="0"/>
    <x v="0"/>
  </r>
  <r>
    <s v="PAT-3366"/>
    <s v="Richard Lewis"/>
    <n v="2"/>
    <x v="0"/>
    <x v="284"/>
    <d v="2025-02-08T00:00:00"/>
    <x v="3"/>
    <x v="23"/>
    <n v="7038.14"/>
    <x v="2"/>
    <n v="0.7"/>
    <n v="4926.6980000000003"/>
    <n v="2111.4420000000005"/>
    <n v="4"/>
    <n v="0"/>
    <x v="4"/>
  </r>
  <r>
    <s v="PAT-3367"/>
    <s v="Andrew Williams"/>
    <n v="77"/>
    <x v="0"/>
    <x v="285"/>
    <d v="2025-11-19T00:00:00"/>
    <x v="0"/>
    <x v="29"/>
    <n v="14877.84"/>
    <x v="1"/>
    <n v="1"/>
    <n v="14877.84"/>
    <n v="0"/>
    <n v="9"/>
    <n v="0"/>
    <x v="1"/>
  </r>
  <r>
    <s v="PAT-3368"/>
    <s v="James Wilson"/>
    <n v="30"/>
    <x v="0"/>
    <x v="286"/>
    <d v="2025-07-18T00:00:00"/>
    <x v="4"/>
    <x v="11"/>
    <n v="14678.51"/>
    <x v="1"/>
    <n v="0.6"/>
    <n v="8807.1059999999998"/>
    <n v="5871.4040000000005"/>
    <n v="11"/>
    <n v="0"/>
    <x v="2"/>
  </r>
  <r>
    <s v="PAT-3369"/>
    <s v="Brian Garcia"/>
    <n v="42"/>
    <x v="0"/>
    <x v="287"/>
    <d v="2025-12-13T00:00:00"/>
    <x v="1"/>
    <x v="31"/>
    <n v="3466.32"/>
    <x v="0"/>
    <n v="0.7"/>
    <n v="2426.424"/>
    <n v="1039.8960000000002"/>
    <n v="2"/>
    <n v="3466.32"/>
    <x v="3"/>
  </r>
  <r>
    <s v="PAT-3370"/>
    <s v="Joshua Miller"/>
    <n v="59"/>
    <x v="0"/>
    <x v="81"/>
    <d v="2024-09-09T00:00:00"/>
    <x v="4"/>
    <x v="18"/>
    <n v="21123.25"/>
    <x v="0"/>
    <n v="0.8"/>
    <n v="16898.600000000002"/>
    <n v="4224.6499999999987"/>
    <n v="14"/>
    <n v="21123.25"/>
    <x v="0"/>
  </r>
  <r>
    <s v="PAT-3371"/>
    <s v="Robert Smith"/>
    <n v="7"/>
    <x v="0"/>
    <x v="1"/>
    <d v="2025-03-18T00:00:00"/>
    <x v="3"/>
    <x v="22"/>
    <n v="5585.79"/>
    <x v="2"/>
    <n v="0"/>
    <n v="0"/>
    <n v="5585.79"/>
    <n v="5"/>
    <n v="0"/>
    <x v="4"/>
  </r>
  <r>
    <s v="PAT-3372"/>
    <s v="Barbara Smith"/>
    <n v="37"/>
    <x v="1"/>
    <x v="166"/>
    <d v="2024-09-18T00:00:00"/>
    <x v="2"/>
    <x v="16"/>
    <n v="6953.83"/>
    <x v="1"/>
    <n v="0.9"/>
    <n v="6258.4470000000001"/>
    <n v="695.38299999999981"/>
    <n v="5"/>
    <n v="0"/>
    <x v="3"/>
  </r>
  <r>
    <s v="PAT-3373"/>
    <s v="Sandra Jones"/>
    <n v="33"/>
    <x v="1"/>
    <x v="76"/>
    <d v="2025-01-03T00:00:00"/>
    <x v="1"/>
    <x v="7"/>
    <n v="2224.13"/>
    <x v="0"/>
    <n v="0.7"/>
    <n v="1556.8910000000001"/>
    <n v="667.23900000000015"/>
    <n v="1"/>
    <n v="2224.13"/>
    <x v="2"/>
  </r>
  <r>
    <s v="PAT-3374"/>
    <s v="Matthew Anderson"/>
    <n v="76"/>
    <x v="0"/>
    <x v="288"/>
    <d v="2025-04-27T00:00:00"/>
    <x v="0"/>
    <x v="6"/>
    <n v="11111.41"/>
    <x v="0"/>
    <n v="0.7"/>
    <n v="7777.9869999999992"/>
    <n v="3333.4230000000002"/>
    <n v="6"/>
    <n v="11111.41"/>
    <x v="1"/>
  </r>
  <r>
    <s v="PAT-3375"/>
    <s v="Andrew Williams"/>
    <n v="31"/>
    <x v="0"/>
    <x v="228"/>
    <d v="2024-09-19T00:00:00"/>
    <x v="2"/>
    <x v="8"/>
    <n v="8312.57"/>
    <x v="0"/>
    <n v="0.7"/>
    <n v="5818.7989999999991"/>
    <n v="2493.7710000000002"/>
    <n v="7"/>
    <n v="8312.57"/>
    <x v="2"/>
  </r>
  <r>
    <s v="PAT-3376"/>
    <s v="Richard Young"/>
    <n v="36"/>
    <x v="0"/>
    <x v="289"/>
    <d v="2024-11-04T00:00:00"/>
    <x v="2"/>
    <x v="33"/>
    <n v="4633.5"/>
    <x v="0"/>
    <n v="0.9"/>
    <n v="4170.1500000000005"/>
    <n v="463.34999999999991"/>
    <n v="5"/>
    <n v="4633.5"/>
    <x v="3"/>
  </r>
  <r>
    <s v="PAT-3377"/>
    <s v="Betty Young"/>
    <n v="29"/>
    <x v="1"/>
    <x v="290"/>
    <d v="2024-10-28T00:00:00"/>
    <x v="4"/>
    <x v="14"/>
    <n v="6028.31"/>
    <x v="2"/>
    <n v="0.8"/>
    <n v="4822.6480000000001"/>
    <n v="1205.6619999999998"/>
    <n v="3"/>
    <n v="0"/>
    <x v="2"/>
  </r>
  <r>
    <s v="PAT-3378"/>
    <s v="James Jackson"/>
    <n v="64"/>
    <x v="0"/>
    <x v="291"/>
    <d v="2024-04-08T00:00:00"/>
    <x v="5"/>
    <x v="17"/>
    <n v="6224.81"/>
    <x v="2"/>
    <n v="0.7"/>
    <n v="4357.3670000000002"/>
    <n v="1867.4430000000004"/>
    <n v="5"/>
    <n v="0"/>
    <x v="0"/>
  </r>
  <r>
    <s v="PAT-3379"/>
    <s v="Richard Smith"/>
    <n v="44"/>
    <x v="0"/>
    <x v="12"/>
    <d v="2024-08-07T00:00:00"/>
    <x v="4"/>
    <x v="11"/>
    <n v="18959.16"/>
    <x v="0"/>
    <n v="0.6"/>
    <n v="11375.495999999999"/>
    <n v="7583.6640000000007"/>
    <n v="11"/>
    <n v="18959.16"/>
    <x v="3"/>
  </r>
  <r>
    <s v="PAT-3380"/>
    <s v="Carol Robinson"/>
    <n v="77"/>
    <x v="1"/>
    <x v="292"/>
    <d v="2024-03-29T00:00:00"/>
    <x v="2"/>
    <x v="4"/>
    <n v="2123.39"/>
    <x v="0"/>
    <n v="0.8"/>
    <n v="1698.712"/>
    <n v="424.67799999999988"/>
    <n v="2"/>
    <n v="2123.39"/>
    <x v="1"/>
  </r>
  <r>
    <s v="PAT-3381"/>
    <s v="Dorothy Hernandez"/>
    <n v="51"/>
    <x v="1"/>
    <x v="293"/>
    <d v="2024-09-02T00:00:00"/>
    <x v="4"/>
    <x v="14"/>
    <n v="4043.37"/>
    <x v="0"/>
    <n v="1"/>
    <n v="4043.37"/>
    <n v="0"/>
    <n v="2"/>
    <n v="4043.37"/>
    <x v="0"/>
  </r>
  <r>
    <s v="PAT-3382"/>
    <s v="Steven Martin"/>
    <n v="4"/>
    <x v="0"/>
    <x v="268"/>
    <d v="2025-01-14T00:00:00"/>
    <x v="3"/>
    <x v="24"/>
    <n v="843.6"/>
    <x v="2"/>
    <n v="0.7"/>
    <n v="590.52"/>
    <n v="253.08000000000004"/>
    <n v="1"/>
    <n v="0"/>
    <x v="4"/>
  </r>
  <r>
    <s v="PAT-3383"/>
    <s v="Linda Hernandez"/>
    <n v="37"/>
    <x v="1"/>
    <x v="180"/>
    <d v="2025-12-25T00:00:00"/>
    <x v="2"/>
    <x v="21"/>
    <n v="2561.88"/>
    <x v="0"/>
    <n v="0.7"/>
    <n v="1793.316"/>
    <n v="768.56400000000019"/>
    <n v="4"/>
    <n v="2561.88"/>
    <x v="3"/>
  </r>
  <r>
    <s v="PAT-3384"/>
    <s v="Sarah Lopez"/>
    <n v="21"/>
    <x v="1"/>
    <x v="294"/>
    <d v="2024-01-03T00:00:00"/>
    <x v="1"/>
    <x v="3"/>
    <n v="1511.32"/>
    <x v="1"/>
    <n v="0.8"/>
    <n v="1209.056"/>
    <n v="302.2639999999999"/>
    <n v="1"/>
    <n v="0"/>
    <x v="2"/>
  </r>
  <r>
    <s v="PAT-3385"/>
    <s v="Daniel Anderson"/>
    <n v="55"/>
    <x v="0"/>
    <x v="295"/>
    <d v="2025-10-14T00:00:00"/>
    <x v="4"/>
    <x v="11"/>
    <n v="27685.69"/>
    <x v="0"/>
    <n v="0.7"/>
    <n v="19379.982999999997"/>
    <n v="8305.7070000000003"/>
    <n v="14"/>
    <n v="27685.69"/>
    <x v="0"/>
  </r>
  <r>
    <s v="PAT-3386"/>
    <s v="Matthew Martinez"/>
    <n v="24"/>
    <x v="0"/>
    <x v="217"/>
    <d v="2024-10-30T00:00:00"/>
    <x v="2"/>
    <x v="16"/>
    <n v="3028.33"/>
    <x v="1"/>
    <n v="0.7"/>
    <n v="2119.8309999999997"/>
    <n v="908.49900000000014"/>
    <n v="4"/>
    <n v="0"/>
    <x v="2"/>
  </r>
  <r>
    <s v="PAT-3387"/>
    <s v="Mark Walker"/>
    <n v="70"/>
    <x v="0"/>
    <x v="51"/>
    <d v="2025-04-18T00:00:00"/>
    <x v="4"/>
    <x v="13"/>
    <n v="37544.019999999997"/>
    <x v="0"/>
    <n v="0.8"/>
    <n v="30035.216"/>
    <n v="7508.8039999999974"/>
    <n v="14"/>
    <n v="37544.019999999997"/>
    <x v="1"/>
  </r>
  <r>
    <s v="PAT-3388"/>
    <s v="Christopher Clark"/>
    <n v="32"/>
    <x v="0"/>
    <x v="296"/>
    <d v="2024-06-08T00:00:00"/>
    <x v="5"/>
    <x v="28"/>
    <n v="17899.3"/>
    <x v="2"/>
    <n v="0.7"/>
    <n v="12529.509999999998"/>
    <n v="5369.7900000000009"/>
    <n v="7"/>
    <n v="0"/>
    <x v="2"/>
  </r>
  <r>
    <s v="PAT-3389"/>
    <s v="Joseph Lee"/>
    <n v="11"/>
    <x v="0"/>
    <x v="216"/>
    <d v="2025-12-22T00:00:00"/>
    <x v="3"/>
    <x v="9"/>
    <n v="5297.21"/>
    <x v="0"/>
    <n v="0.8"/>
    <n v="4237.768"/>
    <n v="1059.4419999999998"/>
    <n v="3"/>
    <n v="5297.21"/>
    <x v="4"/>
  </r>
  <r>
    <s v="PAT-3390"/>
    <s v="Steven Wilson"/>
    <n v="46"/>
    <x v="0"/>
    <x v="297"/>
    <d v="2024-01-22T00:00:00"/>
    <x v="0"/>
    <x v="19"/>
    <n v="10640.24"/>
    <x v="2"/>
    <n v="0"/>
    <n v="0"/>
    <n v="10640.24"/>
    <n v="8"/>
    <n v="0"/>
    <x v="3"/>
  </r>
  <r>
    <s v="PAT-3391"/>
    <s v="Mary Martin"/>
    <n v="40"/>
    <x v="1"/>
    <x v="37"/>
    <d v="2024-12-13T00:00:00"/>
    <x v="5"/>
    <x v="12"/>
    <n v="3660.71"/>
    <x v="2"/>
    <n v="0.7"/>
    <n v="2562.4969999999998"/>
    <n v="1098.2130000000002"/>
    <n v="3"/>
    <n v="0"/>
    <x v="3"/>
  </r>
  <r>
    <s v="PAT-3392"/>
    <s v="Jennifer Harris"/>
    <n v="42"/>
    <x v="1"/>
    <x v="298"/>
    <d v="2025-10-17T00:00:00"/>
    <x v="5"/>
    <x v="17"/>
    <n v="10028.68"/>
    <x v="1"/>
    <n v="0.8"/>
    <n v="8022.9440000000004"/>
    <n v="2005.7359999999996"/>
    <n v="6"/>
    <n v="0"/>
    <x v="3"/>
  </r>
  <r>
    <s v="PAT-3393"/>
    <s v="Karen Thompson"/>
    <n v="9"/>
    <x v="1"/>
    <x v="101"/>
    <d v="2024-01-10T00:00:00"/>
    <x v="3"/>
    <x v="25"/>
    <n v="7238.61"/>
    <x v="1"/>
    <n v="0.5"/>
    <n v="3619.3049999999998"/>
    <n v="3619.3049999999998"/>
    <n v="5"/>
    <n v="0"/>
    <x v="4"/>
  </r>
  <r>
    <s v="PAT-3394"/>
    <s v="Sarah Harris"/>
    <n v="29"/>
    <x v="1"/>
    <x v="299"/>
    <d v="2024-01-02T00:00:00"/>
    <x v="2"/>
    <x v="8"/>
    <n v="969.55"/>
    <x v="0"/>
    <n v="0.9"/>
    <n v="872.59500000000003"/>
    <n v="96.95499999999997"/>
    <n v="1"/>
    <n v="969.55"/>
    <x v="2"/>
  </r>
  <r>
    <s v="PAT-3395"/>
    <s v="Steven Young"/>
    <n v="63"/>
    <x v="0"/>
    <x v="12"/>
    <d v="2024-08-06T00:00:00"/>
    <x v="0"/>
    <x v="1"/>
    <n v="29016.400000000001"/>
    <x v="0"/>
    <n v="0.7"/>
    <n v="20311.48"/>
    <n v="8704.9200000000019"/>
    <n v="10"/>
    <n v="29016.400000000001"/>
    <x v="0"/>
  </r>
  <r>
    <s v="PAT-3396"/>
    <s v="Dorothy Clark"/>
    <n v="15"/>
    <x v="1"/>
    <x v="300"/>
    <d v="2025-07-23T00:00:00"/>
    <x v="3"/>
    <x v="22"/>
    <n v="6415.8"/>
    <x v="0"/>
    <n v="0.8"/>
    <n v="5132.6400000000003"/>
    <n v="1283.1599999999999"/>
    <n v="4"/>
    <n v="6415.8"/>
    <x v="4"/>
  </r>
  <r>
    <s v="PAT-3397"/>
    <s v="Anthony Lewis"/>
    <n v="54"/>
    <x v="0"/>
    <x v="87"/>
    <d v="2024-12-25T00:00:00"/>
    <x v="0"/>
    <x v="19"/>
    <n v="12816.46"/>
    <x v="0"/>
    <n v="0.5"/>
    <n v="6408.23"/>
    <n v="6408.23"/>
    <n v="5"/>
    <n v="12816.46"/>
    <x v="0"/>
  </r>
  <r>
    <s v="PAT-3398"/>
    <s v="Jennifer Miller"/>
    <n v="77"/>
    <x v="1"/>
    <x v="301"/>
    <d v="2024-10-20T00:00:00"/>
    <x v="0"/>
    <x v="29"/>
    <n v="7577.11"/>
    <x v="0"/>
    <n v="0.8"/>
    <n v="6061.6880000000001"/>
    <n v="1515.4219999999996"/>
    <n v="3"/>
    <n v="7577.11"/>
    <x v="1"/>
  </r>
  <r>
    <s v="PAT-3399"/>
    <s v="Robert White"/>
    <n v="35"/>
    <x v="0"/>
    <x v="302"/>
    <d v="2024-12-16T00:00:00"/>
    <x v="1"/>
    <x v="31"/>
    <n v="1670.53"/>
    <x v="0"/>
    <n v="0.8"/>
    <n v="1336.424"/>
    <n v="334.10599999999994"/>
    <n v="1"/>
    <n v="1670.53"/>
    <x v="2"/>
  </r>
  <r>
    <s v="PAT-3400"/>
    <s v="Anthony Clark"/>
    <n v="58"/>
    <x v="0"/>
    <x v="115"/>
    <d v="2024-04-16T00:00:00"/>
    <x v="4"/>
    <x v="13"/>
    <n v="19956.13"/>
    <x v="0"/>
    <n v="1"/>
    <n v="19956.13"/>
    <n v="0"/>
    <n v="8"/>
    <n v="19956.13"/>
    <x v="0"/>
  </r>
  <r>
    <s v="PAT-3401"/>
    <s v="Steven Thomas"/>
    <n v="73"/>
    <x v="0"/>
    <x v="303"/>
    <d v="2024-05-31T00:00:00"/>
    <x v="1"/>
    <x v="15"/>
    <n v="2111.6799999999998"/>
    <x v="0"/>
    <n v="0.9"/>
    <n v="1900.5119999999999"/>
    <n v="211.16799999999995"/>
    <n v="2"/>
    <n v="2111.6799999999998"/>
    <x v="1"/>
  </r>
  <r>
    <s v="PAT-3402"/>
    <s v="Elizabeth Martin"/>
    <n v="40"/>
    <x v="1"/>
    <x v="304"/>
    <d v="2024-02-20T00:00:00"/>
    <x v="4"/>
    <x v="27"/>
    <n v="9466.9"/>
    <x v="2"/>
    <n v="0.7"/>
    <n v="6626.829999999999"/>
    <n v="2840.07"/>
    <n v="6"/>
    <n v="0"/>
    <x v="3"/>
  </r>
  <r>
    <s v="PAT-3403"/>
    <s v="Sandra Lopez"/>
    <n v="42"/>
    <x v="1"/>
    <x v="305"/>
    <d v="2024-01-13T00:00:00"/>
    <x v="5"/>
    <x v="30"/>
    <n v="20681.509999999998"/>
    <x v="0"/>
    <n v="0.9"/>
    <n v="18613.359"/>
    <n v="2068.1509999999994"/>
    <n v="10"/>
    <n v="20681.509999999998"/>
    <x v="3"/>
  </r>
  <r>
    <s v="PAT-3404"/>
    <s v="William Lewis"/>
    <n v="12"/>
    <x v="0"/>
    <x v="306"/>
    <d v="2025-04-07T00:00:00"/>
    <x v="3"/>
    <x v="25"/>
    <n v="2556.54"/>
    <x v="0"/>
    <n v="1"/>
    <n v="2556.54"/>
    <n v="0"/>
    <n v="4"/>
    <n v="2556.54"/>
    <x v="4"/>
  </r>
  <r>
    <s v="PAT-3405"/>
    <s v="William Ramirez"/>
    <n v="67"/>
    <x v="0"/>
    <x v="256"/>
    <d v="2024-03-16T00:00:00"/>
    <x v="5"/>
    <x v="12"/>
    <n v="20496.009999999998"/>
    <x v="1"/>
    <n v="1"/>
    <n v="20496.009999999998"/>
    <n v="0"/>
    <n v="8"/>
    <n v="0"/>
    <x v="1"/>
  </r>
  <r>
    <s v="PAT-3406"/>
    <s v="Christopher Ramirez"/>
    <n v="1"/>
    <x v="0"/>
    <x v="59"/>
    <d v="2024-04-24T00:00:00"/>
    <x v="3"/>
    <x v="9"/>
    <n v="1269.22"/>
    <x v="0"/>
    <n v="0.9"/>
    <n v="1142.298"/>
    <n v="126.92199999999997"/>
    <n v="1"/>
    <n v="1269.22"/>
    <x v="4"/>
  </r>
  <r>
    <s v="PAT-3407"/>
    <s v="Susan Jones"/>
    <n v="74"/>
    <x v="1"/>
    <x v="307"/>
    <d v="2024-09-01T00:00:00"/>
    <x v="4"/>
    <x v="11"/>
    <n v="14175.59"/>
    <x v="2"/>
    <n v="0.7"/>
    <n v="9922.9129999999986"/>
    <n v="4252.6770000000006"/>
    <n v="9"/>
    <n v="0"/>
    <x v="1"/>
  </r>
  <r>
    <s v="PAT-3408"/>
    <s v="Michelle Rodriguez"/>
    <n v="36"/>
    <x v="1"/>
    <x v="286"/>
    <d v="2025-07-09T00:00:00"/>
    <x v="1"/>
    <x v="36"/>
    <n v="2258.0700000000002"/>
    <x v="0"/>
    <n v="0.8"/>
    <n v="1806.4560000000001"/>
    <n v="451.61399999999992"/>
    <n v="2"/>
    <n v="2258.0700000000002"/>
    <x v="3"/>
  </r>
  <r>
    <s v="PAT-3409"/>
    <s v="Michael Lopez"/>
    <n v="53"/>
    <x v="0"/>
    <x v="308"/>
    <d v="2025-11-20T00:00:00"/>
    <x v="2"/>
    <x v="21"/>
    <n v="1471.29"/>
    <x v="0"/>
    <n v="0.8"/>
    <n v="1177.0319999999999"/>
    <n v="294.25799999999992"/>
    <n v="1"/>
    <n v="1471.29"/>
    <x v="0"/>
  </r>
  <r>
    <s v="PAT-3410"/>
    <s v="Emily Thompson"/>
    <n v="7"/>
    <x v="1"/>
    <x v="309"/>
    <d v="2025-04-12T00:00:00"/>
    <x v="3"/>
    <x v="9"/>
    <n v="4671.33"/>
    <x v="0"/>
    <n v="0.7"/>
    <n v="3269.9309999999996"/>
    <n v="1401.3990000000001"/>
    <n v="4"/>
    <n v="4671.33"/>
    <x v="4"/>
  </r>
  <r>
    <s v="PAT-3411"/>
    <s v="Richard Anderson"/>
    <n v="56"/>
    <x v="0"/>
    <x v="310"/>
    <d v="2025-12-27T00:00:00"/>
    <x v="1"/>
    <x v="3"/>
    <n v="3856.57"/>
    <x v="0"/>
    <n v="0.7"/>
    <n v="2699.5990000000002"/>
    <n v="1156.9710000000002"/>
    <n v="3"/>
    <n v="3856.57"/>
    <x v="0"/>
  </r>
  <r>
    <s v="PAT-3412"/>
    <s v="Sarah Lopez"/>
    <n v="42"/>
    <x v="1"/>
    <x v="311"/>
    <d v="2025-11-18T00:00:00"/>
    <x v="0"/>
    <x v="20"/>
    <n v="22775.06"/>
    <x v="0"/>
    <n v="0.8"/>
    <n v="18220.048000000003"/>
    <n v="4555.0119999999988"/>
    <n v="9"/>
    <n v="22775.06"/>
    <x v="3"/>
  </r>
  <r>
    <s v="PAT-3413"/>
    <s v="Ashley Lee"/>
    <n v="53"/>
    <x v="1"/>
    <x v="188"/>
    <d v="2024-03-26T00:00:00"/>
    <x v="1"/>
    <x v="7"/>
    <n v="2542.9899999999998"/>
    <x v="1"/>
    <n v="0.6"/>
    <n v="1525.7939999999999"/>
    <n v="1017.1959999999999"/>
    <n v="2"/>
    <n v="0"/>
    <x v="0"/>
  </r>
  <r>
    <s v="PAT-3414"/>
    <s v="Karen Lewis"/>
    <n v="4"/>
    <x v="1"/>
    <x v="312"/>
    <d v="2025-07-06T00:00:00"/>
    <x v="3"/>
    <x v="22"/>
    <n v="7044.38"/>
    <x v="0"/>
    <n v="0.9"/>
    <n v="6339.942"/>
    <n v="704.43799999999987"/>
    <n v="4"/>
    <n v="7044.38"/>
    <x v="4"/>
  </r>
  <r>
    <s v="PAT-3415"/>
    <s v="Betty Ramirez"/>
    <n v="11"/>
    <x v="1"/>
    <x v="65"/>
    <d v="2025-04-07T00:00:00"/>
    <x v="3"/>
    <x v="25"/>
    <n v="3402.4"/>
    <x v="0"/>
    <n v="0.9"/>
    <n v="3062.1600000000003"/>
    <n v="340.23999999999995"/>
    <n v="2"/>
    <n v="3402.4"/>
    <x v="4"/>
  </r>
  <r>
    <s v="PAT-3416"/>
    <s v="Elizabeth Garcia"/>
    <n v="62"/>
    <x v="1"/>
    <x v="143"/>
    <d v="2024-09-10T00:00:00"/>
    <x v="4"/>
    <x v="27"/>
    <n v="13881.6"/>
    <x v="0"/>
    <n v="0.7"/>
    <n v="9717.119999999999"/>
    <n v="4164.4800000000005"/>
    <n v="5"/>
    <n v="13881.6"/>
    <x v="0"/>
  </r>
  <r>
    <s v="PAT-3417"/>
    <s v="Thomas Anderson"/>
    <n v="29"/>
    <x v="0"/>
    <x v="70"/>
    <d v="2025-04-03T00:00:00"/>
    <x v="2"/>
    <x v="33"/>
    <n v="1362.39"/>
    <x v="0"/>
    <n v="0.8"/>
    <n v="1089.912"/>
    <n v="272.47799999999995"/>
    <n v="2"/>
    <n v="1362.39"/>
    <x v="2"/>
  </r>
  <r>
    <s v="PAT-3418"/>
    <s v="Kenneth Lewis"/>
    <n v="2"/>
    <x v="0"/>
    <x v="313"/>
    <d v="2024-01-11T00:00:00"/>
    <x v="3"/>
    <x v="25"/>
    <n v="8510.7800000000007"/>
    <x v="0"/>
    <n v="0.7"/>
    <n v="5957.5460000000003"/>
    <n v="2553.2340000000004"/>
    <n v="5"/>
    <n v="8510.7800000000007"/>
    <x v="4"/>
  </r>
  <r>
    <s v="PAT-3419"/>
    <s v="Kevin Wilson"/>
    <n v="67"/>
    <x v="0"/>
    <x v="314"/>
    <d v="2024-10-02T00:00:00"/>
    <x v="2"/>
    <x v="33"/>
    <n v="2154.9699999999998"/>
    <x v="0"/>
    <n v="0.9"/>
    <n v="1939.473"/>
    <n v="215.49699999999993"/>
    <n v="3"/>
    <n v="2154.9699999999998"/>
    <x v="1"/>
  </r>
  <r>
    <s v="PAT-3420"/>
    <s v="Jessica White"/>
    <n v="62"/>
    <x v="1"/>
    <x v="315"/>
    <d v="2024-05-19T00:00:00"/>
    <x v="2"/>
    <x v="33"/>
    <n v="1950"/>
    <x v="1"/>
    <n v="0.8"/>
    <n v="1560"/>
    <n v="389.99999999999989"/>
    <n v="3"/>
    <n v="0"/>
    <x v="0"/>
  </r>
  <r>
    <s v="PAT-3421"/>
    <s v="Carol Lewis"/>
    <n v="72"/>
    <x v="1"/>
    <x v="13"/>
    <d v="2024-08-25T00:00:00"/>
    <x v="4"/>
    <x v="26"/>
    <n v="5004.03"/>
    <x v="0"/>
    <n v="1"/>
    <n v="5004.03"/>
    <n v="0"/>
    <n v="5"/>
    <n v="5004.03"/>
    <x v="1"/>
  </r>
  <r>
    <s v="PAT-3422"/>
    <s v="Joseph Robinson"/>
    <n v="63"/>
    <x v="0"/>
    <x v="316"/>
    <d v="2024-04-01T00:00:00"/>
    <x v="5"/>
    <x v="28"/>
    <n v="7752.04"/>
    <x v="0"/>
    <n v="0.9"/>
    <n v="6976.8360000000002"/>
    <n v="775.20399999999984"/>
    <n v="7"/>
    <n v="7752.04"/>
    <x v="0"/>
  </r>
  <r>
    <s v="PAT-3423"/>
    <s v="David Anderson"/>
    <n v="69"/>
    <x v="0"/>
    <x v="6"/>
    <d v="2024-02-14T00:00:00"/>
    <x v="4"/>
    <x v="18"/>
    <n v="6986.97"/>
    <x v="1"/>
    <n v="1"/>
    <n v="6986.97"/>
    <n v="0"/>
    <n v="5"/>
    <n v="0"/>
    <x v="1"/>
  </r>
  <r>
    <s v="PAT-3424"/>
    <s v="William Anderson"/>
    <n v="52"/>
    <x v="0"/>
    <x v="46"/>
    <d v="2025-11-06T00:00:00"/>
    <x v="1"/>
    <x v="36"/>
    <n v="1744.21"/>
    <x v="1"/>
    <n v="0.8"/>
    <n v="1395.3680000000002"/>
    <n v="348.84199999999993"/>
    <n v="1"/>
    <n v="0"/>
    <x v="0"/>
  </r>
  <r>
    <s v="PAT-3425"/>
    <s v="Ashley Ramirez"/>
    <n v="28"/>
    <x v="1"/>
    <x v="317"/>
    <d v="2024-01-29T00:00:00"/>
    <x v="4"/>
    <x v="27"/>
    <n v="23326.29"/>
    <x v="0"/>
    <n v="0.6"/>
    <n v="13995.773999999999"/>
    <n v="9330.5160000000014"/>
    <n v="13"/>
    <n v="23326.29"/>
    <x v="2"/>
  </r>
  <r>
    <s v="PAT-3426"/>
    <s v="Donna Ramirez"/>
    <n v="51"/>
    <x v="1"/>
    <x v="318"/>
    <d v="2025-10-02T00:00:00"/>
    <x v="2"/>
    <x v="5"/>
    <n v="5587.17"/>
    <x v="1"/>
    <n v="0.7"/>
    <n v="3911.0189999999998"/>
    <n v="1676.1510000000003"/>
    <n v="7"/>
    <n v="0"/>
    <x v="0"/>
  </r>
  <r>
    <s v="PAT-3427"/>
    <s v="Emily Walker"/>
    <n v="46"/>
    <x v="1"/>
    <x v="319"/>
    <d v="2025-06-01T00:00:00"/>
    <x v="4"/>
    <x v="26"/>
    <n v="19329.240000000002"/>
    <x v="0"/>
    <n v="0.8"/>
    <n v="15463.392000000002"/>
    <n v="3865.8479999999995"/>
    <n v="13"/>
    <n v="19329.240000000002"/>
    <x v="3"/>
  </r>
  <r>
    <s v="PAT-3428"/>
    <s v="Matthew Jones"/>
    <n v="46"/>
    <x v="0"/>
    <x v="197"/>
    <d v="2025-02-22T00:00:00"/>
    <x v="0"/>
    <x v="0"/>
    <n v="20311.28"/>
    <x v="1"/>
    <n v="0"/>
    <n v="0"/>
    <n v="20311.28"/>
    <n v="8"/>
    <n v="0"/>
    <x v="3"/>
  </r>
  <r>
    <s v="PAT-3429"/>
    <s v="Sandra Harris"/>
    <n v="73"/>
    <x v="1"/>
    <x v="225"/>
    <d v="2025-10-06T00:00:00"/>
    <x v="1"/>
    <x v="2"/>
    <n v="2647.99"/>
    <x v="1"/>
    <n v="0.8"/>
    <n v="2118.3919999999998"/>
    <n v="529.59799999999984"/>
    <n v="3"/>
    <n v="0"/>
    <x v="1"/>
  </r>
  <r>
    <s v="PAT-3430"/>
    <s v="Linda Garcia"/>
    <n v="14"/>
    <x v="1"/>
    <x v="320"/>
    <d v="2025-12-16T00:00:00"/>
    <x v="3"/>
    <x v="23"/>
    <n v="3396.48"/>
    <x v="0"/>
    <n v="0.9"/>
    <n v="3056.8319999999999"/>
    <n v="339.64799999999991"/>
    <n v="2"/>
    <n v="3396.48"/>
    <x v="4"/>
  </r>
  <r>
    <s v="PAT-3431"/>
    <s v="James Clark"/>
    <n v="82"/>
    <x v="0"/>
    <x v="321"/>
    <d v="2024-02-26T00:00:00"/>
    <x v="2"/>
    <x v="16"/>
    <n v="9947.52"/>
    <x v="1"/>
    <n v="0.6"/>
    <n v="5968.5119999999997"/>
    <n v="3979.0080000000003"/>
    <n v="7"/>
    <n v="0"/>
    <x v="1"/>
  </r>
  <r>
    <s v="PAT-3432"/>
    <s v="Lisa Jones"/>
    <n v="11"/>
    <x v="1"/>
    <x v="123"/>
    <d v="2024-06-17T00:00:00"/>
    <x v="3"/>
    <x v="24"/>
    <n v="2103.42"/>
    <x v="1"/>
    <n v="0.6"/>
    <n v="1262.0519999999999"/>
    <n v="841.36800000000005"/>
    <n v="2"/>
    <n v="0"/>
    <x v="4"/>
  </r>
  <r>
    <s v="PAT-3433"/>
    <s v="Barbara Martinez"/>
    <n v="41"/>
    <x v="1"/>
    <x v="322"/>
    <d v="2024-07-13T00:00:00"/>
    <x v="4"/>
    <x v="18"/>
    <n v="20914.48"/>
    <x v="1"/>
    <n v="0.5"/>
    <n v="10457.24"/>
    <n v="10457.24"/>
    <n v="10"/>
    <n v="0"/>
    <x v="3"/>
  </r>
  <r>
    <s v="PAT-3434"/>
    <s v="James Young"/>
    <n v="57"/>
    <x v="0"/>
    <x v="323"/>
    <d v="2024-08-17T00:00:00"/>
    <x v="4"/>
    <x v="18"/>
    <n v="16613.29"/>
    <x v="2"/>
    <n v="0.6"/>
    <n v="9967.9740000000002"/>
    <n v="6645.3160000000007"/>
    <n v="11"/>
    <n v="0"/>
    <x v="0"/>
  </r>
  <r>
    <s v="PAT-3435"/>
    <s v="Sarah Perez"/>
    <n v="62"/>
    <x v="1"/>
    <x v="324"/>
    <d v="2024-12-18T00:00:00"/>
    <x v="4"/>
    <x v="26"/>
    <n v="23037.14"/>
    <x v="0"/>
    <n v="0.7"/>
    <n v="16125.997999999998"/>
    <n v="6911.1420000000007"/>
    <n v="13"/>
    <n v="23037.14"/>
    <x v="0"/>
  </r>
  <r>
    <s v="PAT-3436"/>
    <s v="Brian Rodriguez"/>
    <n v="23"/>
    <x v="0"/>
    <x v="325"/>
    <d v="2024-12-28T00:00:00"/>
    <x v="2"/>
    <x v="21"/>
    <n v="618.74"/>
    <x v="0"/>
    <n v="0.8"/>
    <n v="494.99200000000002"/>
    <n v="123.74799999999998"/>
    <n v="1"/>
    <n v="618.74"/>
    <x v="2"/>
  </r>
  <r>
    <s v="PAT-3437"/>
    <s v="Paul Clark"/>
    <n v="42"/>
    <x v="0"/>
    <x v="20"/>
    <d v="2025-10-25T00:00:00"/>
    <x v="2"/>
    <x v="5"/>
    <n v="3292.07"/>
    <x v="0"/>
    <n v="0.5"/>
    <n v="1646.0350000000001"/>
    <n v="1646.0350000000001"/>
    <n v="3"/>
    <n v="3292.07"/>
    <x v="3"/>
  </r>
  <r>
    <s v="PAT-3438"/>
    <s v="Robert Lee"/>
    <n v="48"/>
    <x v="0"/>
    <x v="299"/>
    <d v="2024-01-05T00:00:00"/>
    <x v="2"/>
    <x v="8"/>
    <n v="5249.64"/>
    <x v="0"/>
    <n v="0.9"/>
    <n v="4724.6760000000004"/>
    <n v="524.96399999999994"/>
    <n v="4"/>
    <n v="5249.64"/>
    <x v="3"/>
  </r>
  <r>
    <s v="PAT-3439"/>
    <s v="Michael Clark"/>
    <n v="71"/>
    <x v="0"/>
    <x v="326"/>
    <d v="2025-08-21T00:00:00"/>
    <x v="4"/>
    <x v="14"/>
    <n v="5726.98"/>
    <x v="0"/>
    <n v="0.8"/>
    <n v="4581.5839999999998"/>
    <n v="1145.3959999999997"/>
    <n v="5"/>
    <n v="5726.98"/>
    <x v="1"/>
  </r>
  <r>
    <s v="PAT-3440"/>
    <s v="Andrew Garcia"/>
    <n v="16"/>
    <x v="0"/>
    <x v="327"/>
    <d v="2024-05-14T00:00:00"/>
    <x v="3"/>
    <x v="22"/>
    <n v="3417.93"/>
    <x v="0"/>
    <n v="1"/>
    <n v="3417.93"/>
    <n v="0"/>
    <n v="2"/>
    <n v="3417.93"/>
    <x v="4"/>
  </r>
  <r>
    <s v="PAT-3441"/>
    <s v="Linda Davis"/>
    <n v="73"/>
    <x v="1"/>
    <x v="139"/>
    <d v="2024-09-14T00:00:00"/>
    <x v="2"/>
    <x v="4"/>
    <n v="4075.7"/>
    <x v="0"/>
    <n v="1"/>
    <n v="4075.7"/>
    <n v="0"/>
    <n v="7"/>
    <n v="4075.7"/>
    <x v="1"/>
  </r>
  <r>
    <s v="PAT-3442"/>
    <s v="Christopher Taylor"/>
    <n v="17"/>
    <x v="0"/>
    <x v="328"/>
    <d v="2025-02-21T00:00:00"/>
    <x v="3"/>
    <x v="22"/>
    <n v="1245.26"/>
    <x v="0"/>
    <n v="1"/>
    <n v="1245.26"/>
    <n v="0"/>
    <n v="2"/>
    <n v="1245.26"/>
    <x v="4"/>
  </r>
  <r>
    <s v="PAT-3443"/>
    <s v="Robert Rodriguez"/>
    <n v="49"/>
    <x v="0"/>
    <x v="134"/>
    <d v="2025-09-05T00:00:00"/>
    <x v="2"/>
    <x v="16"/>
    <n v="1338.57"/>
    <x v="1"/>
    <n v="1"/>
    <n v="1338.57"/>
    <n v="0"/>
    <n v="1"/>
    <n v="0"/>
    <x v="3"/>
  </r>
  <r>
    <s v="PAT-3444"/>
    <s v="Elizabeth Brown"/>
    <n v="41"/>
    <x v="1"/>
    <x v="329"/>
    <d v="2025-04-21T00:00:00"/>
    <x v="5"/>
    <x v="35"/>
    <n v="11778.46"/>
    <x v="2"/>
    <n v="0.6"/>
    <n v="7067.0759999999991"/>
    <n v="4711.384"/>
    <n v="7"/>
    <n v="0"/>
    <x v="3"/>
  </r>
  <r>
    <s v="PAT-3445"/>
    <s v="Kenneth Thomas"/>
    <n v="65"/>
    <x v="0"/>
    <x v="330"/>
    <d v="2025-01-21T00:00:00"/>
    <x v="0"/>
    <x v="29"/>
    <n v="6875.63"/>
    <x v="1"/>
    <n v="0.7"/>
    <n v="4812.9409999999998"/>
    <n v="2062.6890000000003"/>
    <n v="3"/>
    <n v="0"/>
    <x v="0"/>
  </r>
  <r>
    <s v="PAT-3446"/>
    <s v="Joseph Walker"/>
    <n v="36"/>
    <x v="0"/>
    <x v="257"/>
    <d v="2025-06-30T00:00:00"/>
    <x v="2"/>
    <x v="16"/>
    <n v="4520"/>
    <x v="0"/>
    <n v="0.9"/>
    <n v="4068"/>
    <n v="451.99999999999989"/>
    <n v="5"/>
    <n v="4520"/>
    <x v="3"/>
  </r>
  <r>
    <s v="PAT-3447"/>
    <s v="Joseph Martin"/>
    <n v="47"/>
    <x v="0"/>
    <x v="101"/>
    <d v="2024-01-16T00:00:00"/>
    <x v="4"/>
    <x v="13"/>
    <n v="11719.07"/>
    <x v="0"/>
    <n v="0.8"/>
    <n v="9375.2559999999994"/>
    <n v="2343.8139999999994"/>
    <n v="11"/>
    <n v="11719.07"/>
    <x v="3"/>
  </r>
  <r>
    <s v="PAT-3448"/>
    <s v="Susan Thompson"/>
    <n v="74"/>
    <x v="1"/>
    <x v="331"/>
    <d v="2025-07-19T00:00:00"/>
    <x v="5"/>
    <x v="34"/>
    <n v="13712.17"/>
    <x v="0"/>
    <n v="0.8"/>
    <n v="10969.736000000001"/>
    <n v="2742.4339999999993"/>
    <n v="11"/>
    <n v="13712.17"/>
    <x v="1"/>
  </r>
  <r>
    <s v="PAT-3449"/>
    <s v="Kevin Lewis"/>
    <n v="73"/>
    <x v="0"/>
    <x v="143"/>
    <d v="2024-09-06T00:00:00"/>
    <x v="1"/>
    <x v="31"/>
    <n v="2492.86"/>
    <x v="0"/>
    <n v="1"/>
    <n v="2492.86"/>
    <n v="0"/>
    <n v="1"/>
    <n v="2492.86"/>
    <x v="1"/>
  </r>
  <r>
    <s v="PAT-3450"/>
    <s v="Thomas Hernandez"/>
    <n v="19"/>
    <x v="0"/>
    <x v="332"/>
    <d v="2025-06-25T00:00:00"/>
    <x v="1"/>
    <x v="3"/>
    <n v="1867.11"/>
    <x v="0"/>
    <n v="0.8"/>
    <n v="1493.6880000000001"/>
    <n v="373.42199999999991"/>
    <n v="1"/>
    <n v="1867.11"/>
    <x v="2"/>
  </r>
  <r>
    <s v="PAT-3451"/>
    <s v="Daniel Perez"/>
    <n v="68"/>
    <x v="0"/>
    <x v="333"/>
    <d v="2024-07-16T00:00:00"/>
    <x v="0"/>
    <x v="0"/>
    <n v="9821.73"/>
    <x v="0"/>
    <n v="0.8"/>
    <n v="7857.384"/>
    <n v="1964.3459999999995"/>
    <n v="7"/>
    <n v="9821.73"/>
    <x v="1"/>
  </r>
  <r>
    <s v="PAT-3452"/>
    <s v="Kimberly Robinson"/>
    <n v="46"/>
    <x v="1"/>
    <x v="133"/>
    <d v="2024-04-07T00:00:00"/>
    <x v="5"/>
    <x v="12"/>
    <n v="9183.36"/>
    <x v="1"/>
    <n v="0"/>
    <n v="0"/>
    <n v="9183.36"/>
    <n v="7"/>
    <n v="0"/>
    <x v="3"/>
  </r>
  <r>
    <s v="PAT-3453"/>
    <s v="Richard Moore"/>
    <n v="59"/>
    <x v="0"/>
    <x v="334"/>
    <d v="2025-01-25T00:00:00"/>
    <x v="2"/>
    <x v="16"/>
    <n v="1293.94"/>
    <x v="0"/>
    <n v="1"/>
    <n v="1293.94"/>
    <n v="0"/>
    <n v="2"/>
    <n v="1293.94"/>
    <x v="0"/>
  </r>
  <r>
    <s v="PAT-3454"/>
    <s v="Carol Taylor"/>
    <n v="48"/>
    <x v="1"/>
    <x v="68"/>
    <d v="2024-10-30T00:00:00"/>
    <x v="0"/>
    <x v="29"/>
    <n v="23400.73"/>
    <x v="0"/>
    <n v="1"/>
    <n v="23400.73"/>
    <n v="0"/>
    <n v="9"/>
    <n v="23400.73"/>
    <x v="3"/>
  </r>
  <r>
    <s v="PAT-3455"/>
    <s v="Donna Lewis"/>
    <n v="68"/>
    <x v="1"/>
    <x v="46"/>
    <d v="2025-11-10T00:00:00"/>
    <x v="2"/>
    <x v="4"/>
    <n v="5575.83"/>
    <x v="0"/>
    <n v="0.7"/>
    <n v="3903.0809999999997"/>
    <n v="1672.7490000000003"/>
    <n v="5"/>
    <n v="5575.83"/>
    <x v="1"/>
  </r>
  <r>
    <s v="PAT-3456"/>
    <s v="Mary Garcia"/>
    <n v="22"/>
    <x v="1"/>
    <x v="276"/>
    <d v="2024-04-17T00:00:00"/>
    <x v="2"/>
    <x v="5"/>
    <n v="711.37"/>
    <x v="1"/>
    <n v="0.9"/>
    <n v="640.23300000000006"/>
    <n v="71.136999999999986"/>
    <n v="1"/>
    <n v="0"/>
    <x v="2"/>
  </r>
  <r>
    <s v="PAT-3457"/>
    <s v="Joshua Young"/>
    <n v="55"/>
    <x v="0"/>
    <x v="335"/>
    <d v="2025-12-26T00:00:00"/>
    <x v="1"/>
    <x v="32"/>
    <n v="3304.36"/>
    <x v="0"/>
    <n v="0.6"/>
    <n v="1982.616"/>
    <n v="1321.7440000000001"/>
    <n v="3"/>
    <n v="3304.36"/>
    <x v="0"/>
  </r>
  <r>
    <s v="PAT-3458"/>
    <s v="William Anderson"/>
    <n v="48"/>
    <x v="0"/>
    <x v="260"/>
    <d v="2024-03-11T00:00:00"/>
    <x v="5"/>
    <x v="34"/>
    <n v="18171.34"/>
    <x v="2"/>
    <n v="0.7"/>
    <n v="12719.938"/>
    <n v="5451.402000000001"/>
    <n v="8"/>
    <n v="0"/>
    <x v="3"/>
  </r>
  <r>
    <s v="PAT-3459"/>
    <s v="Emily Clark"/>
    <n v="49"/>
    <x v="1"/>
    <x v="336"/>
    <d v="2024-07-09T00:00:00"/>
    <x v="4"/>
    <x v="27"/>
    <n v="32666.57"/>
    <x v="2"/>
    <n v="0.8"/>
    <n v="26133.256000000001"/>
    <n v="6533.3139999999985"/>
    <n v="12"/>
    <n v="0"/>
    <x v="3"/>
  </r>
  <r>
    <s v="PAT-3460"/>
    <s v="Thomas Young"/>
    <n v="57"/>
    <x v="0"/>
    <x v="337"/>
    <d v="2024-03-05T00:00:00"/>
    <x v="2"/>
    <x v="5"/>
    <n v="8770.94"/>
    <x v="0"/>
    <n v="0.8"/>
    <n v="7016.7520000000004"/>
    <n v="1754.1879999999996"/>
    <n v="6"/>
    <n v="8770.94"/>
    <x v="0"/>
  </r>
  <r>
    <s v="PAT-3461"/>
    <s v="Matthew Lee"/>
    <n v="37"/>
    <x v="0"/>
    <x v="338"/>
    <d v="2025-03-08T00:00:00"/>
    <x v="5"/>
    <x v="30"/>
    <n v="5722.85"/>
    <x v="2"/>
    <n v="0.7"/>
    <n v="4005.9949999999999"/>
    <n v="1716.8550000000005"/>
    <n v="3"/>
    <n v="0"/>
    <x v="3"/>
  </r>
  <r>
    <s v="PAT-3462"/>
    <s v="Lisa Perez"/>
    <n v="73"/>
    <x v="1"/>
    <x v="339"/>
    <d v="2024-11-04T00:00:00"/>
    <x v="1"/>
    <x v="36"/>
    <n v="1228.01"/>
    <x v="0"/>
    <n v="0.9"/>
    <n v="1105.2090000000001"/>
    <n v="122.80099999999997"/>
    <n v="1"/>
    <n v="1228.01"/>
    <x v="1"/>
  </r>
  <r>
    <s v="PAT-3463"/>
    <s v="Linda Thompson"/>
    <n v="78"/>
    <x v="1"/>
    <x v="340"/>
    <d v="2024-11-17T00:00:00"/>
    <x v="2"/>
    <x v="8"/>
    <n v="8155.8"/>
    <x v="0"/>
    <n v="0.8"/>
    <n v="6524.64"/>
    <n v="1631.1599999999996"/>
    <n v="7"/>
    <n v="8155.8"/>
    <x v="1"/>
  </r>
  <r>
    <s v="PAT-3464"/>
    <s v="Emily Taylor"/>
    <n v="75"/>
    <x v="1"/>
    <x v="272"/>
    <d v="2024-05-30T00:00:00"/>
    <x v="4"/>
    <x v="27"/>
    <n v="21834.98"/>
    <x v="0"/>
    <n v="0.8"/>
    <n v="17467.984"/>
    <n v="4366.9959999999992"/>
    <n v="11"/>
    <n v="21834.98"/>
    <x v="1"/>
  </r>
  <r>
    <s v="PAT-3465"/>
    <s v="Elizabeth Martin"/>
    <n v="51"/>
    <x v="1"/>
    <x v="341"/>
    <d v="2025-12-22T00:00:00"/>
    <x v="4"/>
    <x v="18"/>
    <n v="24478.42"/>
    <x v="1"/>
    <n v="0.7"/>
    <n v="17134.893999999997"/>
    <n v="7343.5260000000007"/>
    <n v="9"/>
    <n v="0"/>
    <x v="0"/>
  </r>
  <r>
    <s v="PAT-3466"/>
    <s v="Joshua White"/>
    <n v="24"/>
    <x v="0"/>
    <x v="81"/>
    <d v="2024-08-30T00:00:00"/>
    <x v="2"/>
    <x v="8"/>
    <n v="3310.93"/>
    <x v="0"/>
    <n v="0.5"/>
    <n v="1655.4649999999999"/>
    <n v="1655.4649999999999"/>
    <n v="4"/>
    <n v="3310.93"/>
    <x v="2"/>
  </r>
  <r>
    <s v="PAT-3467"/>
    <s v="Sarah Martinez"/>
    <n v="11"/>
    <x v="1"/>
    <x v="342"/>
    <d v="2024-05-22T00:00:00"/>
    <x v="3"/>
    <x v="25"/>
    <n v="3615.86"/>
    <x v="0"/>
    <n v="0.7"/>
    <n v="2531.1019999999999"/>
    <n v="1084.7580000000003"/>
    <n v="5"/>
    <n v="3615.86"/>
    <x v="4"/>
  </r>
  <r>
    <s v="PAT-3468"/>
    <s v="Sandra Clark"/>
    <n v="71"/>
    <x v="1"/>
    <x v="343"/>
    <d v="2025-02-13T00:00:00"/>
    <x v="0"/>
    <x v="29"/>
    <n v="14885.93"/>
    <x v="0"/>
    <n v="0.9"/>
    <n v="13397.337000000001"/>
    <n v="1488.5929999999996"/>
    <n v="7"/>
    <n v="14885.93"/>
    <x v="1"/>
  </r>
  <r>
    <s v="PAT-3469"/>
    <s v="Ashley Ramirez"/>
    <n v="29"/>
    <x v="1"/>
    <x v="101"/>
    <d v="2024-01-19T00:00:00"/>
    <x v="4"/>
    <x v="26"/>
    <n v="21594.51"/>
    <x v="0"/>
    <n v="0.6"/>
    <n v="12956.705999999998"/>
    <n v="8637.8040000000001"/>
    <n v="14"/>
    <n v="21594.51"/>
    <x v="2"/>
  </r>
  <r>
    <s v="PAT-3470"/>
    <s v="William Williams"/>
    <n v="35"/>
    <x v="0"/>
    <x v="344"/>
    <d v="2025-09-18T00:00:00"/>
    <x v="4"/>
    <x v="11"/>
    <n v="16660.509999999998"/>
    <x v="1"/>
    <n v="0.7"/>
    <n v="11662.356999999998"/>
    <n v="4998.1530000000002"/>
    <n v="11"/>
    <n v="0"/>
    <x v="2"/>
  </r>
  <r>
    <s v="PAT-3471"/>
    <s v="Susan Perez"/>
    <n v="9"/>
    <x v="1"/>
    <x v="167"/>
    <d v="2024-03-04T00:00:00"/>
    <x v="3"/>
    <x v="23"/>
    <n v="5025.87"/>
    <x v="0"/>
    <n v="0.8"/>
    <n v="4020.6959999999999"/>
    <n v="1005.1739999999998"/>
    <n v="3"/>
    <n v="5025.87"/>
    <x v="4"/>
  </r>
  <r>
    <s v="PAT-3472"/>
    <s v="Michelle Wilson"/>
    <n v="64"/>
    <x v="1"/>
    <x v="345"/>
    <d v="2024-05-27T00:00:00"/>
    <x v="4"/>
    <x v="14"/>
    <n v="3693.42"/>
    <x v="0"/>
    <n v="0.9"/>
    <n v="3324.078"/>
    <n v="369.34199999999993"/>
    <n v="2"/>
    <n v="3693.42"/>
    <x v="0"/>
  </r>
  <r>
    <s v="PAT-3473"/>
    <s v="Andrew Jackson"/>
    <n v="11"/>
    <x v="0"/>
    <x v="254"/>
    <d v="2025-06-15T00:00:00"/>
    <x v="3"/>
    <x v="25"/>
    <n v="6070.15"/>
    <x v="0"/>
    <n v="0.7"/>
    <n v="4249.1049999999996"/>
    <n v="1821.0450000000001"/>
    <n v="4"/>
    <n v="6070.15"/>
    <x v="4"/>
  </r>
  <r>
    <s v="PAT-3474"/>
    <s v="Kevin Perez"/>
    <n v="78"/>
    <x v="0"/>
    <x v="346"/>
    <d v="2025-05-07T00:00:00"/>
    <x v="2"/>
    <x v="5"/>
    <n v="1488.89"/>
    <x v="0"/>
    <n v="0.8"/>
    <n v="1191.1120000000001"/>
    <n v="297.77799999999996"/>
    <n v="1"/>
    <n v="1488.89"/>
    <x v="1"/>
  </r>
  <r>
    <s v="PAT-3475"/>
    <s v="Michael Smith"/>
    <n v="64"/>
    <x v="0"/>
    <x v="347"/>
    <d v="2024-07-07T00:00:00"/>
    <x v="2"/>
    <x v="5"/>
    <n v="3173.52"/>
    <x v="2"/>
    <n v="0.9"/>
    <n v="2856.1680000000001"/>
    <n v="317.35199999999992"/>
    <n v="3"/>
    <n v="0"/>
    <x v="0"/>
  </r>
  <r>
    <s v="PAT-3476"/>
    <s v="Michelle Jones"/>
    <n v="38"/>
    <x v="1"/>
    <x v="210"/>
    <d v="2025-05-02T00:00:00"/>
    <x v="4"/>
    <x v="11"/>
    <n v="12100.26"/>
    <x v="2"/>
    <n v="0.9"/>
    <n v="10890.234"/>
    <n v="1210.0259999999998"/>
    <n v="9"/>
    <n v="0"/>
    <x v="3"/>
  </r>
  <r>
    <s v="PAT-3477"/>
    <s v="Jennifer Smith"/>
    <n v="66"/>
    <x v="1"/>
    <x v="233"/>
    <d v="2024-02-27T00:00:00"/>
    <x v="0"/>
    <x v="6"/>
    <n v="17141"/>
    <x v="0"/>
    <n v="0.9"/>
    <n v="15426.9"/>
    <n v="1714.0999999999997"/>
    <n v="6"/>
    <n v="17141"/>
    <x v="1"/>
  </r>
  <r>
    <s v="PAT-3478"/>
    <s v="Betty Moore"/>
    <n v="36"/>
    <x v="1"/>
    <x v="348"/>
    <d v="2025-01-27T00:00:00"/>
    <x v="1"/>
    <x v="31"/>
    <n v="1576.85"/>
    <x v="1"/>
    <n v="0.8"/>
    <n v="1261.48"/>
    <n v="315.36999999999989"/>
    <n v="1"/>
    <n v="0"/>
    <x v="3"/>
  </r>
  <r>
    <s v="PAT-3479"/>
    <s v="William Rodriguez"/>
    <n v="54"/>
    <x v="0"/>
    <x v="349"/>
    <d v="2024-08-01T00:00:00"/>
    <x v="2"/>
    <x v="10"/>
    <n v="534.38"/>
    <x v="0"/>
    <n v="0.8"/>
    <n v="427.50400000000002"/>
    <n v="106.87599999999998"/>
    <n v="1"/>
    <n v="534.38"/>
    <x v="0"/>
  </r>
  <r>
    <s v="PAT-3480"/>
    <s v="Kimberly Clark"/>
    <n v="1"/>
    <x v="1"/>
    <x v="161"/>
    <d v="2024-01-10T00:00:00"/>
    <x v="3"/>
    <x v="24"/>
    <n v="728.22"/>
    <x v="0"/>
    <n v="0.6"/>
    <n v="436.93200000000002"/>
    <n v="291.28800000000001"/>
    <n v="1"/>
    <n v="728.22"/>
    <x v="4"/>
  </r>
  <r>
    <s v="PAT-3481"/>
    <s v="Thomas Martin"/>
    <n v="29"/>
    <x v="0"/>
    <x v="350"/>
    <d v="2025-07-15T00:00:00"/>
    <x v="4"/>
    <x v="27"/>
    <n v="12100.99"/>
    <x v="1"/>
    <n v="1"/>
    <n v="12100.99"/>
    <n v="0"/>
    <n v="6"/>
    <n v="0"/>
    <x v="2"/>
  </r>
  <r>
    <s v="PAT-3482"/>
    <s v="Dorothy Brown"/>
    <n v="77"/>
    <x v="1"/>
    <x v="351"/>
    <d v="2025-05-20T00:00:00"/>
    <x v="0"/>
    <x v="0"/>
    <n v="8417.51"/>
    <x v="2"/>
    <n v="0.7"/>
    <n v="5892.2569999999996"/>
    <n v="2525.2530000000006"/>
    <n v="6"/>
    <n v="0"/>
    <x v="1"/>
  </r>
  <r>
    <s v="PAT-3483"/>
    <s v="Linda Davis"/>
    <n v="82"/>
    <x v="1"/>
    <x v="249"/>
    <d v="2024-08-18T00:00:00"/>
    <x v="0"/>
    <x v="29"/>
    <n v="4494.01"/>
    <x v="2"/>
    <n v="0.5"/>
    <n v="2247.0050000000001"/>
    <n v="2247.0050000000001"/>
    <n v="3"/>
    <n v="0"/>
    <x v="1"/>
  </r>
  <r>
    <s v="PAT-3484"/>
    <s v="Paul Johnson"/>
    <n v="2"/>
    <x v="0"/>
    <x v="352"/>
    <d v="2024-03-13T00:00:00"/>
    <x v="3"/>
    <x v="24"/>
    <n v="3929.21"/>
    <x v="1"/>
    <n v="0.9"/>
    <n v="3536.2890000000002"/>
    <n v="392.92099999999994"/>
    <n v="4"/>
    <n v="0"/>
    <x v="4"/>
  </r>
  <r>
    <s v="PAT-3485"/>
    <s v="Lisa Jones"/>
    <n v="48"/>
    <x v="1"/>
    <x v="353"/>
    <d v="2025-12-06T00:00:00"/>
    <x v="4"/>
    <x v="14"/>
    <n v="24600.43"/>
    <x v="1"/>
    <n v="0.7"/>
    <n v="17220.300999999999"/>
    <n v="7380.1290000000008"/>
    <n v="14"/>
    <n v="0"/>
    <x v="3"/>
  </r>
  <r>
    <s v="PAT-3486"/>
    <s v="Joseph Clark"/>
    <n v="60"/>
    <x v="0"/>
    <x v="354"/>
    <d v="2024-05-29T00:00:00"/>
    <x v="1"/>
    <x v="15"/>
    <n v="4928.0600000000004"/>
    <x v="2"/>
    <n v="0.6"/>
    <n v="2956.8360000000002"/>
    <n v="1971.2240000000002"/>
    <n v="3"/>
    <n v="0"/>
    <x v="0"/>
  </r>
  <r>
    <s v="PAT-3487"/>
    <s v="Linda Wilson"/>
    <n v="69"/>
    <x v="1"/>
    <x v="355"/>
    <d v="2025-01-30T00:00:00"/>
    <x v="1"/>
    <x v="3"/>
    <n v="1292.28"/>
    <x v="0"/>
    <n v="1"/>
    <n v="1292.28"/>
    <n v="0"/>
    <n v="1"/>
    <n v="1292.28"/>
    <x v="1"/>
  </r>
  <r>
    <s v="PAT-3488"/>
    <s v="Nancy Jones"/>
    <n v="14"/>
    <x v="1"/>
    <x v="356"/>
    <d v="2024-11-05T00:00:00"/>
    <x v="3"/>
    <x v="25"/>
    <n v="3900.85"/>
    <x v="0"/>
    <n v="0.9"/>
    <n v="3510.7649999999999"/>
    <n v="390.08499999999992"/>
    <n v="3"/>
    <n v="3900.85"/>
    <x v="4"/>
  </r>
  <r>
    <s v="PAT-3489"/>
    <s v="Nancy Perez"/>
    <n v="39"/>
    <x v="1"/>
    <x v="58"/>
    <d v="2025-04-29T00:00:00"/>
    <x v="2"/>
    <x v="33"/>
    <n v="2872.81"/>
    <x v="1"/>
    <n v="1"/>
    <n v="2872.81"/>
    <n v="0"/>
    <n v="5"/>
    <n v="0"/>
    <x v="3"/>
  </r>
  <r>
    <s v="PAT-3490"/>
    <s v="Barbara Brown"/>
    <n v="43"/>
    <x v="1"/>
    <x v="357"/>
    <d v="2025-11-23T00:00:00"/>
    <x v="4"/>
    <x v="18"/>
    <n v="16993.79"/>
    <x v="2"/>
    <n v="0.7"/>
    <n v="11895.653"/>
    <n v="5098.1370000000006"/>
    <n v="9"/>
    <n v="0"/>
    <x v="3"/>
  </r>
  <r>
    <s v="PAT-3491"/>
    <s v="Matthew Ramirez"/>
    <n v="11"/>
    <x v="0"/>
    <x v="40"/>
    <d v="2025-11-22T00:00:00"/>
    <x v="3"/>
    <x v="37"/>
    <n v="4693.3500000000004"/>
    <x v="0"/>
    <n v="0.8"/>
    <n v="3754.6800000000003"/>
    <n v="938.66999999999985"/>
    <n v="4"/>
    <n v="4693.3500000000004"/>
    <x v="4"/>
  </r>
  <r>
    <s v="PAT-3492"/>
    <s v="Sarah Brown"/>
    <n v="71"/>
    <x v="1"/>
    <x v="191"/>
    <d v="2025-11-30T00:00:00"/>
    <x v="1"/>
    <x v="32"/>
    <n v="2381.67"/>
    <x v="2"/>
    <n v="0.6"/>
    <n v="1429.002"/>
    <n v="952.66800000000012"/>
    <n v="1"/>
    <n v="0"/>
    <x v="1"/>
  </r>
  <r>
    <s v="PAT-3493"/>
    <s v="Robert Williams"/>
    <n v="14"/>
    <x v="0"/>
    <x v="2"/>
    <d v="2024-04-07T00:00:00"/>
    <x v="3"/>
    <x v="22"/>
    <n v="3014.2"/>
    <x v="1"/>
    <n v="0.6"/>
    <n v="1808.5199999999998"/>
    <n v="1205.68"/>
    <n v="2"/>
    <n v="0"/>
    <x v="4"/>
  </r>
  <r>
    <s v="PAT-3494"/>
    <s v="Mary Thompson"/>
    <n v="45"/>
    <x v="1"/>
    <x v="272"/>
    <d v="2024-05-27T00:00:00"/>
    <x v="5"/>
    <x v="35"/>
    <n v="13434.66"/>
    <x v="1"/>
    <n v="0.6"/>
    <n v="8060.7959999999994"/>
    <n v="5373.8640000000005"/>
    <n v="8"/>
    <n v="0"/>
    <x v="3"/>
  </r>
  <r>
    <s v="PAT-3495"/>
    <s v="Michael White"/>
    <n v="29"/>
    <x v="0"/>
    <x v="358"/>
    <d v="2025-05-26T00:00:00"/>
    <x v="4"/>
    <x v="27"/>
    <n v="13647.71"/>
    <x v="0"/>
    <n v="0.5"/>
    <n v="6823.8549999999996"/>
    <n v="6823.8549999999996"/>
    <n v="11"/>
    <n v="13647.71"/>
    <x v="2"/>
  </r>
  <r>
    <s v="PAT-3496"/>
    <s v="Michael Robinson"/>
    <n v="44"/>
    <x v="0"/>
    <x v="359"/>
    <d v="2025-10-04T00:00:00"/>
    <x v="4"/>
    <x v="26"/>
    <n v="4992.76"/>
    <x v="0"/>
    <n v="0.6"/>
    <n v="2995.6559999999999"/>
    <n v="1997.1040000000003"/>
    <n v="2"/>
    <n v="4992.76"/>
    <x v="3"/>
  </r>
  <r>
    <s v="PAT-3497"/>
    <s v="Robert Jackson"/>
    <n v="42"/>
    <x v="0"/>
    <x v="360"/>
    <d v="2025-01-02T00:00:00"/>
    <x v="1"/>
    <x v="7"/>
    <n v="4370.5"/>
    <x v="1"/>
    <n v="0.7"/>
    <n v="3059.35"/>
    <n v="1311.15"/>
    <n v="2"/>
    <n v="0"/>
    <x v="3"/>
  </r>
  <r>
    <s v="PAT-3498"/>
    <s v="Donna Johnson"/>
    <n v="48"/>
    <x v="1"/>
    <x v="361"/>
    <d v="2025-01-08T00:00:00"/>
    <x v="2"/>
    <x v="16"/>
    <n v="3007.7"/>
    <x v="1"/>
    <n v="0.8"/>
    <n v="2406.16"/>
    <n v="601.53999999999985"/>
    <n v="4"/>
    <n v="0"/>
    <x v="3"/>
  </r>
  <r>
    <s v="PAT-3499"/>
    <s v="Donna Martinez"/>
    <n v="50"/>
    <x v="1"/>
    <x v="362"/>
    <d v="2025-01-16T00:00:00"/>
    <x v="5"/>
    <x v="17"/>
    <n v="17578.87"/>
    <x v="0"/>
    <n v="0.8"/>
    <n v="14063.096"/>
    <n v="3515.773999999999"/>
    <n v="7"/>
    <n v="17578.87"/>
    <x v="3"/>
  </r>
  <r>
    <s v="PAT-3500"/>
    <s v="Anthony White"/>
    <n v="78"/>
    <x v="0"/>
    <x v="363"/>
    <d v="2025-09-12T00:00:00"/>
    <x v="2"/>
    <x v="10"/>
    <n v="1203.76"/>
    <x v="1"/>
    <n v="0.9"/>
    <n v="1083.384"/>
    <n v="120.37599999999998"/>
    <n v="2"/>
    <n v="0"/>
    <x v="1"/>
  </r>
  <r>
    <s v="PAT-3501"/>
    <s v="Donna Lee"/>
    <n v="22"/>
    <x v="1"/>
    <x v="171"/>
    <d v="2024-12-16T00:00:00"/>
    <x v="1"/>
    <x v="2"/>
    <n v="2453.12"/>
    <x v="0"/>
    <n v="0.5"/>
    <n v="1226.56"/>
    <n v="1226.56"/>
    <n v="3"/>
    <n v="2453.12"/>
    <x v="2"/>
  </r>
  <r>
    <s v="PAT-3502"/>
    <s v="Kevin White"/>
    <n v="64"/>
    <x v="0"/>
    <x v="364"/>
    <d v="2024-05-01T00:00:00"/>
    <x v="0"/>
    <x v="19"/>
    <n v="6452.72"/>
    <x v="0"/>
    <n v="0.7"/>
    <n v="4516.9039999999995"/>
    <n v="1935.8160000000003"/>
    <n v="3"/>
    <n v="6452.72"/>
    <x v="0"/>
  </r>
  <r>
    <s v="PAT-3503"/>
    <s v="Lisa Lee"/>
    <n v="10"/>
    <x v="1"/>
    <x v="349"/>
    <d v="2024-08-03T00:00:00"/>
    <x v="3"/>
    <x v="9"/>
    <n v="3215.48"/>
    <x v="0"/>
    <n v="0.9"/>
    <n v="2893.9320000000002"/>
    <n v="321.54799999999994"/>
    <n v="3"/>
    <n v="3215.48"/>
    <x v="4"/>
  </r>
  <r>
    <s v="PAT-3504"/>
    <s v="Daniel Jones"/>
    <n v="62"/>
    <x v="0"/>
    <x v="162"/>
    <d v="2025-01-27T00:00:00"/>
    <x v="0"/>
    <x v="6"/>
    <n v="17458.62"/>
    <x v="0"/>
    <n v="0"/>
    <n v="0"/>
    <n v="17458.62"/>
    <n v="6"/>
    <n v="17458.62"/>
    <x v="0"/>
  </r>
  <r>
    <s v="PAT-3505"/>
    <s v="Steven Young"/>
    <n v="57"/>
    <x v="0"/>
    <x v="279"/>
    <d v="2025-12-07T00:00:00"/>
    <x v="0"/>
    <x v="0"/>
    <n v="14707.56"/>
    <x v="2"/>
    <n v="0.8"/>
    <n v="11766.048000000001"/>
    <n v="2941.5119999999993"/>
    <n v="5"/>
    <n v="0"/>
    <x v="0"/>
  </r>
  <r>
    <s v="PAT-3506"/>
    <s v="Steven Davis"/>
    <n v="52"/>
    <x v="0"/>
    <x v="234"/>
    <d v="2024-07-17T00:00:00"/>
    <x v="2"/>
    <x v="10"/>
    <n v="5116.62"/>
    <x v="2"/>
    <n v="0.9"/>
    <n v="4604.9579999999996"/>
    <n v="511.66199999999986"/>
    <n v="4"/>
    <n v="0"/>
    <x v="0"/>
  </r>
  <r>
    <s v="PAT-3507"/>
    <s v="Barbara Davis"/>
    <n v="29"/>
    <x v="1"/>
    <x v="323"/>
    <d v="2024-08-13T00:00:00"/>
    <x v="4"/>
    <x v="18"/>
    <n v="11957.78"/>
    <x v="1"/>
    <n v="0.8"/>
    <n v="9566.2240000000002"/>
    <n v="2391.5559999999996"/>
    <n v="7"/>
    <n v="0"/>
    <x v="2"/>
  </r>
  <r>
    <s v="PAT-3508"/>
    <s v="Michelle Taylor"/>
    <n v="76"/>
    <x v="1"/>
    <x v="273"/>
    <d v="2024-08-22T00:00:00"/>
    <x v="1"/>
    <x v="3"/>
    <n v="2237.66"/>
    <x v="0"/>
    <n v="0.8"/>
    <n v="1790.1279999999999"/>
    <n v="447.53199999999987"/>
    <n v="1"/>
    <n v="2237.66"/>
    <x v="1"/>
  </r>
  <r>
    <s v="PAT-3509"/>
    <s v="Steven Robinson"/>
    <n v="29"/>
    <x v="0"/>
    <x v="365"/>
    <d v="2025-07-19T00:00:00"/>
    <x v="2"/>
    <x v="8"/>
    <n v="912.18"/>
    <x v="1"/>
    <n v="0.5"/>
    <n v="456.09"/>
    <n v="456.09"/>
    <n v="1"/>
    <n v="0"/>
    <x v="2"/>
  </r>
  <r>
    <s v="PAT-3510"/>
    <s v="Lisa Lopez"/>
    <n v="63"/>
    <x v="1"/>
    <x v="362"/>
    <d v="2025-01-10T00:00:00"/>
    <x v="1"/>
    <x v="7"/>
    <n v="2435.08"/>
    <x v="2"/>
    <n v="0.6"/>
    <n v="1461.048"/>
    <n v="974.03200000000004"/>
    <n v="1"/>
    <n v="0"/>
    <x v="0"/>
  </r>
  <r>
    <s v="PAT-3511"/>
    <s v="Michael Miller"/>
    <n v="55"/>
    <x v="0"/>
    <x v="366"/>
    <d v="2024-02-18T00:00:00"/>
    <x v="4"/>
    <x v="27"/>
    <n v="26103.65"/>
    <x v="2"/>
    <n v="0.6"/>
    <n v="15662.19"/>
    <n v="10441.460000000001"/>
    <n v="12"/>
    <n v="0"/>
    <x v="0"/>
  </r>
  <r>
    <s v="PAT-3512"/>
    <s v="William Jones"/>
    <n v="6"/>
    <x v="0"/>
    <x v="15"/>
    <d v="2025-02-08T00:00:00"/>
    <x v="3"/>
    <x v="9"/>
    <n v="762.87"/>
    <x v="0"/>
    <n v="0.8"/>
    <n v="610.29600000000005"/>
    <n v="152.57399999999996"/>
    <n v="1"/>
    <n v="762.87"/>
    <x v="4"/>
  </r>
  <r>
    <s v="PAT-3513"/>
    <s v="Michelle Thompson"/>
    <n v="15"/>
    <x v="1"/>
    <x v="33"/>
    <d v="2025-10-16T00:00:00"/>
    <x v="3"/>
    <x v="23"/>
    <n v="653.57000000000005"/>
    <x v="1"/>
    <n v="0.7"/>
    <n v="457.49900000000002"/>
    <n v="196.07100000000005"/>
    <n v="1"/>
    <n v="0"/>
    <x v="4"/>
  </r>
  <r>
    <s v="PAT-3514"/>
    <s v="Mary Taylor"/>
    <n v="60"/>
    <x v="1"/>
    <x v="310"/>
    <d v="2025-12-27T00:00:00"/>
    <x v="4"/>
    <x v="18"/>
    <n v="7007.11"/>
    <x v="0"/>
    <n v="0.8"/>
    <n v="5605.6880000000001"/>
    <n v="1401.4219999999996"/>
    <n v="3"/>
    <n v="7007.11"/>
    <x v="0"/>
  </r>
  <r>
    <s v="PAT-3515"/>
    <s v="Joshua Williams"/>
    <n v="66"/>
    <x v="0"/>
    <x v="358"/>
    <d v="2025-05-22T00:00:00"/>
    <x v="2"/>
    <x v="8"/>
    <n v="9641.39"/>
    <x v="0"/>
    <n v="0.8"/>
    <n v="7713.1120000000001"/>
    <n v="1928.2779999999996"/>
    <n v="7"/>
    <n v="9641.39"/>
    <x v="1"/>
  </r>
  <r>
    <s v="PAT-3516"/>
    <s v="Lisa Wilson"/>
    <n v="41"/>
    <x v="1"/>
    <x v="70"/>
    <d v="2025-04-11T00:00:00"/>
    <x v="4"/>
    <x v="18"/>
    <n v="20277.68"/>
    <x v="1"/>
    <n v="0.6"/>
    <n v="12166.608"/>
    <n v="8111.0720000000001"/>
    <n v="10"/>
    <n v="0"/>
    <x v="3"/>
  </r>
  <r>
    <s v="PAT-3517"/>
    <s v="Sandra Williams"/>
    <n v="56"/>
    <x v="1"/>
    <x v="367"/>
    <d v="2025-10-27T00:00:00"/>
    <x v="0"/>
    <x v="20"/>
    <n v="10406.790000000001"/>
    <x v="1"/>
    <n v="0.7"/>
    <n v="7284.7529999999997"/>
    <n v="3122.0370000000007"/>
    <n v="7"/>
    <n v="0"/>
    <x v="0"/>
  </r>
  <r>
    <s v="PAT-3518"/>
    <s v="Steven Johnson"/>
    <n v="25"/>
    <x v="0"/>
    <x v="288"/>
    <d v="2025-04-24T00:00:00"/>
    <x v="1"/>
    <x v="36"/>
    <n v="5735.73"/>
    <x v="1"/>
    <n v="0.8"/>
    <n v="4588.5839999999998"/>
    <n v="1147.1459999999997"/>
    <n v="3"/>
    <n v="0"/>
    <x v="2"/>
  </r>
  <r>
    <s v="PAT-3519"/>
    <s v="Andrew Lewis"/>
    <n v="38"/>
    <x v="0"/>
    <x v="49"/>
    <d v="2024-07-09T00:00:00"/>
    <x v="2"/>
    <x v="10"/>
    <n v="4420.13"/>
    <x v="0"/>
    <n v="0.9"/>
    <n v="3978.1170000000002"/>
    <n v="442.01299999999992"/>
    <n v="3"/>
    <n v="4420.13"/>
    <x v="3"/>
  </r>
  <r>
    <s v="PAT-3520"/>
    <s v="Karen Walker"/>
    <n v="56"/>
    <x v="1"/>
    <x v="247"/>
    <d v="2025-08-25T00:00:00"/>
    <x v="2"/>
    <x v="21"/>
    <n v="4034.24"/>
    <x v="1"/>
    <n v="0.9"/>
    <n v="3630.8159999999998"/>
    <n v="403.42399999999986"/>
    <n v="6"/>
    <n v="0"/>
    <x v="0"/>
  </r>
  <r>
    <s v="PAT-3521"/>
    <s v="Brian Miller"/>
    <n v="53"/>
    <x v="0"/>
    <x v="61"/>
    <d v="2025-02-04T00:00:00"/>
    <x v="5"/>
    <x v="12"/>
    <n v="18224.23"/>
    <x v="0"/>
    <n v="0.8"/>
    <n v="14579.384"/>
    <n v="3644.8459999999991"/>
    <n v="11"/>
    <n v="18224.23"/>
    <x v="0"/>
  </r>
  <r>
    <s v="PAT-3522"/>
    <s v="Thomas Clark"/>
    <n v="21"/>
    <x v="0"/>
    <x v="368"/>
    <d v="2024-07-29T00:00:00"/>
    <x v="2"/>
    <x v="21"/>
    <n v="4562.96"/>
    <x v="0"/>
    <n v="0.9"/>
    <n v="4106.6639999999998"/>
    <n v="456.29599999999988"/>
    <n v="7"/>
    <n v="4562.96"/>
    <x v="2"/>
  </r>
  <r>
    <s v="PAT-3523"/>
    <s v="David Anderson"/>
    <n v="1"/>
    <x v="0"/>
    <x v="369"/>
    <d v="2024-11-05T00:00:00"/>
    <x v="3"/>
    <x v="23"/>
    <n v="7560.63"/>
    <x v="0"/>
    <n v="0"/>
    <n v="0"/>
    <n v="7560.63"/>
    <n v="5"/>
    <n v="7560.63"/>
    <x v="4"/>
  </r>
  <r>
    <s v="PAT-3524"/>
    <s v="Sarah Anderson"/>
    <n v="21"/>
    <x v="1"/>
    <x v="227"/>
    <d v="2025-07-16T00:00:00"/>
    <x v="2"/>
    <x v="8"/>
    <n v="605"/>
    <x v="0"/>
    <n v="0.8"/>
    <n v="484"/>
    <n v="120.99999999999997"/>
    <n v="1"/>
    <n v="605"/>
    <x v="2"/>
  </r>
  <r>
    <s v="PAT-3525"/>
    <s v="Lisa Davis"/>
    <n v="77"/>
    <x v="1"/>
    <x v="27"/>
    <d v="2025-01-26T00:00:00"/>
    <x v="1"/>
    <x v="31"/>
    <n v="899.35"/>
    <x v="1"/>
    <n v="0.7"/>
    <n v="629.54499999999996"/>
    <n v="269.80500000000006"/>
    <n v="1"/>
    <n v="0"/>
    <x v="1"/>
  </r>
  <r>
    <s v="PAT-3526"/>
    <s v="Kenneth Davis"/>
    <n v="54"/>
    <x v="0"/>
    <x v="337"/>
    <d v="2024-03-04T00:00:00"/>
    <x v="0"/>
    <x v="0"/>
    <n v="13642.77"/>
    <x v="2"/>
    <n v="0.8"/>
    <n v="10914.216"/>
    <n v="2728.5539999999996"/>
    <n v="5"/>
    <n v="0"/>
    <x v="0"/>
  </r>
  <r>
    <s v="PAT-3527"/>
    <s v="Emily Walker"/>
    <n v="49"/>
    <x v="1"/>
    <x v="370"/>
    <d v="2024-09-09T00:00:00"/>
    <x v="2"/>
    <x v="16"/>
    <n v="1419.55"/>
    <x v="2"/>
    <n v="0.9"/>
    <n v="1277.595"/>
    <n v="141.95499999999996"/>
    <n v="1"/>
    <n v="0"/>
    <x v="3"/>
  </r>
  <r>
    <s v="PAT-3528"/>
    <s v="Thomas Garcia"/>
    <n v="74"/>
    <x v="0"/>
    <x v="371"/>
    <d v="2025-09-13T00:00:00"/>
    <x v="2"/>
    <x v="4"/>
    <n v="4915.01"/>
    <x v="0"/>
    <n v="0.9"/>
    <n v="4423.509"/>
    <n v="491.50099999999992"/>
    <n v="5"/>
    <n v="4915.01"/>
    <x v="1"/>
  </r>
  <r>
    <s v="PAT-3529"/>
    <s v="Sarah Lee"/>
    <n v="24"/>
    <x v="1"/>
    <x v="372"/>
    <d v="2024-06-09T00:00:00"/>
    <x v="2"/>
    <x v="21"/>
    <n v="879.73"/>
    <x v="0"/>
    <n v="0.8"/>
    <n v="703.78400000000011"/>
    <n v="175.94599999999997"/>
    <n v="1"/>
    <n v="879.73"/>
    <x v="2"/>
  </r>
  <r>
    <s v="PAT-3530"/>
    <s v="Barbara Thompson"/>
    <n v="78"/>
    <x v="1"/>
    <x v="140"/>
    <d v="2024-07-26T00:00:00"/>
    <x v="1"/>
    <x v="3"/>
    <n v="4924.09"/>
    <x v="0"/>
    <n v="0.7"/>
    <n v="3446.8629999999998"/>
    <n v="1477.2270000000003"/>
    <n v="3"/>
    <n v="4924.09"/>
    <x v="1"/>
  </r>
  <r>
    <s v="PAT-3531"/>
    <s v="Joshua Miller"/>
    <n v="34"/>
    <x v="0"/>
    <x v="211"/>
    <d v="2025-11-12T00:00:00"/>
    <x v="4"/>
    <x v="11"/>
    <n v="13077.22"/>
    <x v="2"/>
    <n v="0.6"/>
    <n v="7846.3319999999994"/>
    <n v="5230.8879999999999"/>
    <n v="10"/>
    <n v="0"/>
    <x v="2"/>
  </r>
  <r>
    <s v="PAT-3532"/>
    <s v="William Young"/>
    <n v="45"/>
    <x v="0"/>
    <x v="298"/>
    <d v="2025-10-18T00:00:00"/>
    <x v="2"/>
    <x v="8"/>
    <n v="5438.75"/>
    <x v="0"/>
    <n v="0.8"/>
    <n v="4351"/>
    <n v="1087.7499999999998"/>
    <n v="7"/>
    <n v="5438.75"/>
    <x v="3"/>
  </r>
  <r>
    <s v="PAT-3533"/>
    <s v="Carol Ramirez"/>
    <n v="59"/>
    <x v="1"/>
    <x v="283"/>
    <d v="2024-11-04T00:00:00"/>
    <x v="0"/>
    <x v="1"/>
    <n v="23659.1"/>
    <x v="1"/>
    <n v="0.9"/>
    <n v="21293.19"/>
    <n v="2365.9099999999994"/>
    <n v="8"/>
    <n v="0"/>
    <x v="0"/>
  </r>
  <r>
    <s v="PAT-3534"/>
    <s v="Robert Clark"/>
    <n v="80"/>
    <x v="0"/>
    <x v="43"/>
    <d v="2024-07-22T00:00:00"/>
    <x v="0"/>
    <x v="29"/>
    <n v="10323.56"/>
    <x v="0"/>
    <n v="0.7"/>
    <n v="7226.4919999999993"/>
    <n v="3097.0680000000002"/>
    <n v="5"/>
    <n v="10323.56"/>
    <x v="1"/>
  </r>
  <r>
    <s v="PAT-3535"/>
    <s v="James Walker"/>
    <n v="53"/>
    <x v="0"/>
    <x v="38"/>
    <d v="2024-12-26T00:00:00"/>
    <x v="4"/>
    <x v="27"/>
    <n v="23629.360000000001"/>
    <x v="0"/>
    <n v="0.9"/>
    <n v="21266.424000000003"/>
    <n v="2362.9359999999997"/>
    <n v="9"/>
    <n v="23629.360000000001"/>
    <x v="0"/>
  </r>
  <r>
    <s v="PAT-3536"/>
    <s v="Thomas Lewis"/>
    <n v="65"/>
    <x v="0"/>
    <x v="256"/>
    <d v="2024-03-14T00:00:00"/>
    <x v="2"/>
    <x v="21"/>
    <n v="7474.49"/>
    <x v="0"/>
    <n v="0.7"/>
    <n v="5232.1429999999991"/>
    <n v="2242.3470000000002"/>
    <n v="6"/>
    <n v="7474.49"/>
    <x v="0"/>
  </r>
  <r>
    <s v="PAT-3537"/>
    <s v="Elizabeth Robinson"/>
    <n v="46"/>
    <x v="1"/>
    <x v="19"/>
    <d v="2025-05-30T00:00:00"/>
    <x v="1"/>
    <x v="32"/>
    <n v="6062.52"/>
    <x v="0"/>
    <n v="0.9"/>
    <n v="5456.2680000000009"/>
    <n v="606.25199999999995"/>
    <n v="3"/>
    <n v="6062.52"/>
    <x v="3"/>
  </r>
  <r>
    <s v="PAT-3538"/>
    <s v="Karen Taylor"/>
    <n v="19"/>
    <x v="1"/>
    <x v="373"/>
    <d v="2024-07-01T00:00:00"/>
    <x v="1"/>
    <x v="15"/>
    <n v="4748.93"/>
    <x v="0"/>
    <n v="0"/>
    <n v="0"/>
    <n v="4748.93"/>
    <n v="2"/>
    <n v="4748.93"/>
    <x v="2"/>
  </r>
  <r>
    <s v="PAT-3539"/>
    <s v="Anthony Jackson"/>
    <n v="12"/>
    <x v="0"/>
    <x v="281"/>
    <d v="2025-05-14T00:00:00"/>
    <x v="3"/>
    <x v="22"/>
    <n v="5993.64"/>
    <x v="2"/>
    <n v="0"/>
    <n v="0"/>
    <n v="5993.64"/>
    <n v="4"/>
    <n v="0"/>
    <x v="4"/>
  </r>
  <r>
    <s v="PAT-3540"/>
    <s v="Michael Taylor"/>
    <n v="49"/>
    <x v="0"/>
    <x v="374"/>
    <d v="2025-11-22T00:00:00"/>
    <x v="2"/>
    <x v="8"/>
    <n v="1129.2"/>
    <x v="0"/>
    <n v="0.8"/>
    <n v="903.36000000000013"/>
    <n v="225.83999999999995"/>
    <n v="2"/>
    <n v="1129.2"/>
    <x v="3"/>
  </r>
  <r>
    <s v="PAT-3541"/>
    <s v="Barbara Davis"/>
    <n v="47"/>
    <x v="1"/>
    <x v="146"/>
    <d v="2024-05-08T00:00:00"/>
    <x v="1"/>
    <x v="31"/>
    <n v="2925.89"/>
    <x v="2"/>
    <n v="0.6"/>
    <n v="1755.5339999999999"/>
    <n v="1170.356"/>
    <n v="3"/>
    <n v="0"/>
    <x v="3"/>
  </r>
  <r>
    <s v="PAT-3542"/>
    <s v="Karen Davis"/>
    <n v="60"/>
    <x v="1"/>
    <x v="375"/>
    <d v="2024-10-02T00:00:00"/>
    <x v="1"/>
    <x v="31"/>
    <n v="3791.25"/>
    <x v="1"/>
    <n v="0.6"/>
    <n v="2274.75"/>
    <n v="1516.5"/>
    <n v="2"/>
    <n v="0"/>
    <x v="0"/>
  </r>
  <r>
    <s v="PAT-3543"/>
    <s v="Karen White"/>
    <n v="39"/>
    <x v="1"/>
    <x v="30"/>
    <d v="2024-06-30T00:00:00"/>
    <x v="4"/>
    <x v="27"/>
    <n v="17536.5"/>
    <x v="0"/>
    <n v="0.9"/>
    <n v="15782.85"/>
    <n v="1753.6499999999996"/>
    <n v="7"/>
    <n v="17536.5"/>
    <x v="3"/>
  </r>
  <r>
    <s v="PAT-3544"/>
    <s v="Sarah Davis"/>
    <n v="35"/>
    <x v="1"/>
    <x v="376"/>
    <d v="2025-02-03T00:00:00"/>
    <x v="2"/>
    <x v="4"/>
    <n v="2285.7199999999998"/>
    <x v="0"/>
    <n v="0.9"/>
    <n v="2057.1479999999997"/>
    <n v="228.57199999999992"/>
    <n v="4"/>
    <n v="2285.7199999999998"/>
    <x v="2"/>
  </r>
  <r>
    <s v="PAT-3545"/>
    <s v="Carol Wilson"/>
    <n v="37"/>
    <x v="1"/>
    <x v="377"/>
    <d v="2024-01-22T00:00:00"/>
    <x v="4"/>
    <x v="18"/>
    <n v="11741.84"/>
    <x v="0"/>
    <n v="0.8"/>
    <n v="9393.4719999999998"/>
    <n v="2348.3679999999995"/>
    <n v="9"/>
    <n v="11741.84"/>
    <x v="3"/>
  </r>
  <r>
    <s v="PAT-3546"/>
    <s v="Emily Jackson"/>
    <n v="51"/>
    <x v="1"/>
    <x v="378"/>
    <d v="2025-10-21T00:00:00"/>
    <x v="0"/>
    <x v="6"/>
    <n v="17157.7"/>
    <x v="1"/>
    <n v="0.8"/>
    <n v="13726.160000000002"/>
    <n v="3431.5399999999995"/>
    <n v="8"/>
    <n v="0"/>
    <x v="0"/>
  </r>
  <r>
    <s v="PAT-3547"/>
    <s v="Susan Clark"/>
    <n v="69"/>
    <x v="1"/>
    <x v="119"/>
    <d v="2025-05-17T00:00:00"/>
    <x v="2"/>
    <x v="33"/>
    <n v="1202.17"/>
    <x v="2"/>
    <n v="0"/>
    <n v="0"/>
    <n v="1202.17"/>
    <n v="1"/>
    <n v="0"/>
    <x v="1"/>
  </r>
  <r>
    <s v="PAT-3548"/>
    <s v="David Johnson"/>
    <n v="10"/>
    <x v="0"/>
    <x v="379"/>
    <d v="2025-05-26T00:00:00"/>
    <x v="3"/>
    <x v="9"/>
    <n v="963.75"/>
    <x v="0"/>
    <n v="1"/>
    <n v="963.75"/>
    <n v="0"/>
    <n v="1"/>
    <n v="963.75"/>
    <x v="4"/>
  </r>
  <r>
    <s v="PAT-3549"/>
    <s v="Andrew White"/>
    <n v="5"/>
    <x v="0"/>
    <x v="124"/>
    <d v="2025-07-04T00:00:00"/>
    <x v="3"/>
    <x v="9"/>
    <n v="634.45000000000005"/>
    <x v="0"/>
    <n v="0.8"/>
    <n v="507.56000000000006"/>
    <n v="126.88999999999999"/>
    <n v="1"/>
    <n v="634.45000000000005"/>
    <x v="4"/>
  </r>
  <r>
    <s v="PAT-3550"/>
    <s v="Joshua Clark"/>
    <n v="67"/>
    <x v="0"/>
    <x v="380"/>
    <d v="2025-07-01T00:00:00"/>
    <x v="4"/>
    <x v="18"/>
    <n v="15003.09"/>
    <x v="1"/>
    <n v="0.6"/>
    <n v="9001.8539999999994"/>
    <n v="6001.2360000000008"/>
    <n v="12"/>
    <n v="0"/>
    <x v="1"/>
  </r>
  <r>
    <s v="PAT-3551"/>
    <s v="Jennifer Anderson"/>
    <n v="33"/>
    <x v="1"/>
    <x v="381"/>
    <d v="2024-08-18T00:00:00"/>
    <x v="1"/>
    <x v="7"/>
    <n v="1936.8"/>
    <x v="0"/>
    <n v="0.8"/>
    <n v="1549.44"/>
    <n v="387.3599999999999"/>
    <n v="2"/>
    <n v="1936.8"/>
    <x v="2"/>
  </r>
  <r>
    <s v="PAT-3552"/>
    <s v="Karen Taylor"/>
    <n v="37"/>
    <x v="1"/>
    <x v="275"/>
    <d v="2025-03-23T00:00:00"/>
    <x v="1"/>
    <x v="2"/>
    <n v="6193.25"/>
    <x v="1"/>
    <n v="0.6"/>
    <n v="3715.95"/>
    <n v="2477.3000000000002"/>
    <n v="3"/>
    <n v="0"/>
    <x v="3"/>
  </r>
  <r>
    <s v="PAT-3553"/>
    <s v="Donna Jackson"/>
    <n v="72"/>
    <x v="1"/>
    <x v="382"/>
    <d v="2025-10-25T00:00:00"/>
    <x v="4"/>
    <x v="11"/>
    <n v="11831.06"/>
    <x v="2"/>
    <n v="0.8"/>
    <n v="9464.848"/>
    <n v="2366.2119999999995"/>
    <n v="7"/>
    <n v="0"/>
    <x v="1"/>
  </r>
  <r>
    <s v="PAT-3554"/>
    <s v="Richard Perez"/>
    <n v="75"/>
    <x v="0"/>
    <x v="284"/>
    <d v="2025-02-11T00:00:00"/>
    <x v="2"/>
    <x v="16"/>
    <n v="7790.86"/>
    <x v="0"/>
    <n v="1"/>
    <n v="7790.86"/>
    <n v="0"/>
    <n v="7"/>
    <n v="7790.86"/>
    <x v="1"/>
  </r>
  <r>
    <s v="PAT-3555"/>
    <s v="Nancy Young"/>
    <n v="27"/>
    <x v="1"/>
    <x v="374"/>
    <d v="2025-11-27T00:00:00"/>
    <x v="2"/>
    <x v="8"/>
    <n v="4784.6000000000004"/>
    <x v="0"/>
    <n v="0.7"/>
    <n v="3349.2200000000003"/>
    <n v="1435.3800000000003"/>
    <n v="7"/>
    <n v="4784.6000000000004"/>
    <x v="2"/>
  </r>
  <r>
    <s v="PAT-3556"/>
    <s v="James Williams"/>
    <n v="60"/>
    <x v="0"/>
    <x v="383"/>
    <d v="2024-02-09T00:00:00"/>
    <x v="0"/>
    <x v="6"/>
    <n v="11688.29"/>
    <x v="2"/>
    <n v="0.7"/>
    <n v="8181.8029999999999"/>
    <n v="3506.487000000001"/>
    <n v="4"/>
    <n v="0"/>
    <x v="0"/>
  </r>
  <r>
    <s v="PAT-3557"/>
    <s v="Richard Perez"/>
    <n v="42"/>
    <x v="0"/>
    <x v="248"/>
    <d v="2024-09-17T00:00:00"/>
    <x v="0"/>
    <x v="1"/>
    <n v="18692.25"/>
    <x v="0"/>
    <n v="0.7"/>
    <n v="13084.574999999999"/>
    <n v="5607.6750000000011"/>
    <n v="8"/>
    <n v="18692.25"/>
    <x v="3"/>
  </r>
  <r>
    <s v="PAT-3558"/>
    <s v="Richard Davis"/>
    <n v="10"/>
    <x v="0"/>
    <x v="235"/>
    <d v="2024-06-05T00:00:00"/>
    <x v="3"/>
    <x v="9"/>
    <n v="3371.75"/>
    <x v="0"/>
    <n v="1"/>
    <n v="3371.75"/>
    <n v="0"/>
    <n v="5"/>
    <n v="3371.75"/>
    <x v="4"/>
  </r>
  <r>
    <s v="PAT-3559"/>
    <s v="Barbara Martinez"/>
    <n v="79"/>
    <x v="1"/>
    <x v="384"/>
    <d v="2024-08-14T00:00:00"/>
    <x v="1"/>
    <x v="3"/>
    <n v="4382.4799999999996"/>
    <x v="1"/>
    <n v="0.7"/>
    <n v="3067.7359999999994"/>
    <n v="1314.7440000000001"/>
    <n v="2"/>
    <n v="0"/>
    <x v="1"/>
  </r>
  <r>
    <s v="PAT-3560"/>
    <s v="Michelle Brown"/>
    <n v="82"/>
    <x v="1"/>
    <x v="385"/>
    <d v="2024-09-18T00:00:00"/>
    <x v="2"/>
    <x v="4"/>
    <n v="4088.62"/>
    <x v="2"/>
    <n v="0.6"/>
    <n v="2453.172"/>
    <n v="1635.4480000000001"/>
    <n v="4"/>
    <n v="0"/>
    <x v="1"/>
  </r>
  <r>
    <s v="PAT-3561"/>
    <s v="Mark Lopez"/>
    <n v="7"/>
    <x v="0"/>
    <x v="94"/>
    <d v="2025-07-30T00:00:00"/>
    <x v="3"/>
    <x v="37"/>
    <n v="3324.31"/>
    <x v="2"/>
    <n v="0.8"/>
    <n v="2659.4480000000003"/>
    <n v="664.86199999999985"/>
    <n v="3"/>
    <n v="0"/>
    <x v="4"/>
  </r>
  <r>
    <s v="PAT-3562"/>
    <s v="Paul Taylor"/>
    <n v="25"/>
    <x v="0"/>
    <x v="386"/>
    <d v="2024-05-09T00:00:00"/>
    <x v="4"/>
    <x v="11"/>
    <n v="9961.07"/>
    <x v="0"/>
    <n v="0.7"/>
    <n v="6972.7489999999998"/>
    <n v="2988.3210000000004"/>
    <n v="8"/>
    <n v="9961.07"/>
    <x v="2"/>
  </r>
  <r>
    <s v="PAT-3563"/>
    <s v="Richard Brown"/>
    <n v="77"/>
    <x v="0"/>
    <x v="387"/>
    <d v="2024-01-30T00:00:00"/>
    <x v="2"/>
    <x v="16"/>
    <n v="8841.14"/>
    <x v="0"/>
    <n v="0"/>
    <n v="0"/>
    <n v="8841.14"/>
    <n v="6"/>
    <n v="8841.14"/>
    <x v="1"/>
  </r>
  <r>
    <s v="PAT-3564"/>
    <s v="David Williams"/>
    <n v="3"/>
    <x v="0"/>
    <x v="388"/>
    <d v="2025-04-12T00:00:00"/>
    <x v="3"/>
    <x v="9"/>
    <n v="5228.9399999999996"/>
    <x v="1"/>
    <n v="0.5"/>
    <n v="2614.4699999999998"/>
    <n v="2614.4699999999998"/>
    <n v="3"/>
    <n v="0"/>
    <x v="4"/>
  </r>
  <r>
    <s v="PAT-3565"/>
    <s v="Daniel Williams"/>
    <n v="47"/>
    <x v="0"/>
    <x v="46"/>
    <d v="2025-11-10T00:00:00"/>
    <x v="2"/>
    <x v="21"/>
    <n v="6395.28"/>
    <x v="0"/>
    <n v="0.9"/>
    <n v="5755.7519999999995"/>
    <n v="639.52799999999979"/>
    <n v="5"/>
    <n v="6395.28"/>
    <x v="3"/>
  </r>
  <r>
    <s v="PAT-3566"/>
    <s v="Jennifer Young"/>
    <n v="68"/>
    <x v="1"/>
    <x v="384"/>
    <d v="2024-08-13T00:00:00"/>
    <x v="2"/>
    <x v="16"/>
    <n v="973.65"/>
    <x v="1"/>
    <n v="0.8"/>
    <n v="778.92000000000007"/>
    <n v="194.72999999999996"/>
    <n v="1"/>
    <n v="0"/>
    <x v="1"/>
  </r>
  <r>
    <s v="PAT-3567"/>
    <s v="Joshua Garcia"/>
    <n v="52"/>
    <x v="0"/>
    <x v="389"/>
    <d v="2025-03-13T00:00:00"/>
    <x v="0"/>
    <x v="6"/>
    <n v="10137.39"/>
    <x v="2"/>
    <n v="0.7"/>
    <n v="7096.1729999999989"/>
    <n v="3041.2170000000001"/>
    <n v="5"/>
    <n v="0"/>
    <x v="0"/>
  </r>
  <r>
    <s v="PAT-3568"/>
    <s v="Ashley Moore"/>
    <n v="28"/>
    <x v="1"/>
    <x v="161"/>
    <d v="2024-01-21T00:00:00"/>
    <x v="4"/>
    <x v="14"/>
    <n v="22947.49"/>
    <x v="0"/>
    <n v="0.8"/>
    <n v="18357.992000000002"/>
    <n v="4589.4979999999996"/>
    <n v="12"/>
    <n v="22947.49"/>
    <x v="2"/>
  </r>
  <r>
    <s v="PAT-3569"/>
    <s v="Kevin Anderson"/>
    <n v="67"/>
    <x v="0"/>
    <x v="193"/>
    <d v="2024-09-20T00:00:00"/>
    <x v="4"/>
    <x v="26"/>
    <n v="2438.71"/>
    <x v="2"/>
    <n v="0.7"/>
    <n v="1707.097"/>
    <n v="731.61300000000017"/>
    <n v="2"/>
    <n v="0"/>
    <x v="1"/>
  </r>
  <r>
    <s v="PAT-3570"/>
    <s v="Barbara Smith"/>
    <n v="55"/>
    <x v="1"/>
    <x v="352"/>
    <d v="2024-03-11T00:00:00"/>
    <x v="1"/>
    <x v="36"/>
    <n v="1963.87"/>
    <x v="2"/>
    <n v="0.8"/>
    <n v="1571.096"/>
    <n v="392.77399999999989"/>
    <n v="2"/>
    <n v="0"/>
    <x v="0"/>
  </r>
  <r>
    <s v="PAT-3571"/>
    <s v="Andrew White"/>
    <n v="12"/>
    <x v="0"/>
    <x v="155"/>
    <d v="2025-06-26T00:00:00"/>
    <x v="3"/>
    <x v="24"/>
    <n v="3527.16"/>
    <x v="0"/>
    <n v="0.7"/>
    <n v="2469.0119999999997"/>
    <n v="1058.1480000000001"/>
    <n v="3"/>
    <n v="3527.16"/>
    <x v="4"/>
  </r>
  <r>
    <s v="PAT-3572"/>
    <s v="Richard Thomas"/>
    <n v="35"/>
    <x v="0"/>
    <x v="194"/>
    <d v="2025-07-29T00:00:00"/>
    <x v="1"/>
    <x v="36"/>
    <n v="5342.79"/>
    <x v="0"/>
    <n v="0.7"/>
    <n v="3739.9529999999995"/>
    <n v="1602.8370000000002"/>
    <n v="3"/>
    <n v="5342.79"/>
    <x v="2"/>
  </r>
  <r>
    <s v="PAT-3573"/>
    <s v="Betty Jackson"/>
    <n v="30"/>
    <x v="1"/>
    <x v="390"/>
    <d v="2024-08-31T00:00:00"/>
    <x v="4"/>
    <x v="14"/>
    <n v="30203.49"/>
    <x v="1"/>
    <n v="1"/>
    <n v="30203.49"/>
    <n v="0"/>
    <n v="12"/>
    <n v="0"/>
    <x v="2"/>
  </r>
  <r>
    <s v="PAT-3574"/>
    <s v="Joshua Clark"/>
    <n v="69"/>
    <x v="0"/>
    <x v="391"/>
    <d v="2024-05-01T00:00:00"/>
    <x v="4"/>
    <x v="14"/>
    <n v="7312.84"/>
    <x v="1"/>
    <n v="0.7"/>
    <n v="5118.9879999999994"/>
    <n v="2193.8520000000003"/>
    <n v="6"/>
    <n v="0"/>
    <x v="1"/>
  </r>
  <r>
    <s v="PAT-3575"/>
    <s v="Sarah Robinson"/>
    <n v="34"/>
    <x v="1"/>
    <x v="235"/>
    <d v="2024-06-04T00:00:00"/>
    <x v="2"/>
    <x v="33"/>
    <n v="4926.28"/>
    <x v="0"/>
    <n v="0.9"/>
    <n v="4433.652"/>
    <n v="492.62799999999987"/>
    <n v="4"/>
    <n v="4926.28"/>
    <x v="2"/>
  </r>
  <r>
    <s v="PAT-3576"/>
    <s v="Kimberly Moore"/>
    <n v="84"/>
    <x v="1"/>
    <x v="269"/>
    <d v="2025-09-08T00:00:00"/>
    <x v="1"/>
    <x v="3"/>
    <n v="3526.66"/>
    <x v="2"/>
    <n v="1"/>
    <n v="3526.66"/>
    <n v="0"/>
    <n v="2"/>
    <n v="0"/>
    <x v="1"/>
  </r>
  <r>
    <s v="PAT-3577"/>
    <s v="Kimberly Jones"/>
    <n v="76"/>
    <x v="1"/>
    <x v="392"/>
    <d v="2025-05-04T00:00:00"/>
    <x v="2"/>
    <x v="21"/>
    <n v="3004.47"/>
    <x v="0"/>
    <n v="0.8"/>
    <n v="2403.576"/>
    <n v="600.89399999999978"/>
    <n v="4"/>
    <n v="3004.47"/>
    <x v="1"/>
  </r>
  <r>
    <s v="PAT-3578"/>
    <s v="Michael Brown"/>
    <n v="55"/>
    <x v="0"/>
    <x v="136"/>
    <d v="2025-05-23T00:00:00"/>
    <x v="1"/>
    <x v="31"/>
    <n v="988.47"/>
    <x v="0"/>
    <n v="0.9"/>
    <n v="889.62300000000005"/>
    <n v="98.84699999999998"/>
    <n v="1"/>
    <n v="988.47"/>
    <x v="0"/>
  </r>
  <r>
    <s v="PAT-3579"/>
    <s v="Jennifer Lee"/>
    <n v="63"/>
    <x v="1"/>
    <x v="286"/>
    <d v="2025-07-14T00:00:00"/>
    <x v="0"/>
    <x v="29"/>
    <n v="8993.9699999999993"/>
    <x v="0"/>
    <n v="0.6"/>
    <n v="5396.3819999999996"/>
    <n v="3597.5879999999997"/>
    <n v="7"/>
    <n v="8993.9699999999993"/>
    <x v="0"/>
  </r>
  <r>
    <s v="PAT-3580"/>
    <s v="Anthony Moore"/>
    <n v="66"/>
    <x v="0"/>
    <x v="393"/>
    <d v="2025-07-05T00:00:00"/>
    <x v="0"/>
    <x v="19"/>
    <n v="7934.14"/>
    <x v="0"/>
    <n v="0.8"/>
    <n v="6347.3120000000008"/>
    <n v="1586.8279999999997"/>
    <n v="4"/>
    <n v="7934.14"/>
    <x v="1"/>
  </r>
  <r>
    <s v="PAT-3581"/>
    <s v="Elizabeth Thomas"/>
    <n v="35"/>
    <x v="1"/>
    <x v="394"/>
    <d v="2025-09-26T00:00:00"/>
    <x v="1"/>
    <x v="32"/>
    <n v="2517.29"/>
    <x v="0"/>
    <n v="0.8"/>
    <n v="2013.8320000000001"/>
    <n v="503.45799999999986"/>
    <n v="3"/>
    <n v="2517.29"/>
    <x v="2"/>
  </r>
  <r>
    <s v="PAT-3582"/>
    <s v="William Hernandez"/>
    <n v="48"/>
    <x v="0"/>
    <x v="395"/>
    <d v="2024-07-08T00:00:00"/>
    <x v="0"/>
    <x v="0"/>
    <n v="12873.58"/>
    <x v="1"/>
    <n v="0.7"/>
    <n v="9011.5059999999994"/>
    <n v="3862.0740000000005"/>
    <n v="8"/>
    <n v="0"/>
    <x v="3"/>
  </r>
  <r>
    <s v="PAT-3583"/>
    <s v="Barbara Martin"/>
    <n v="73"/>
    <x v="1"/>
    <x v="269"/>
    <d v="2025-09-10T00:00:00"/>
    <x v="2"/>
    <x v="4"/>
    <n v="5208.9799999999996"/>
    <x v="0"/>
    <n v="0.8"/>
    <n v="4167.1840000000002"/>
    <n v="1041.7959999999996"/>
    <n v="4"/>
    <n v="5208.9799999999996"/>
    <x v="1"/>
  </r>
  <r>
    <s v="PAT-3584"/>
    <s v="Joseph Davis"/>
    <n v="80"/>
    <x v="0"/>
    <x v="396"/>
    <d v="2024-07-25T00:00:00"/>
    <x v="0"/>
    <x v="1"/>
    <n v="16136.12"/>
    <x v="0"/>
    <n v="1"/>
    <n v="16136.12"/>
    <n v="0"/>
    <n v="9"/>
    <n v="16136.12"/>
    <x v="1"/>
  </r>
  <r>
    <s v="PAT-3585"/>
    <s v="Lisa Thomas"/>
    <n v="10"/>
    <x v="1"/>
    <x v="397"/>
    <d v="2025-08-08T00:00:00"/>
    <x v="3"/>
    <x v="23"/>
    <n v="4827.5"/>
    <x v="2"/>
    <n v="0.8"/>
    <n v="3862"/>
    <n v="965.49999999999977"/>
    <n v="4"/>
    <n v="0"/>
    <x v="4"/>
  </r>
  <r>
    <s v="PAT-3586"/>
    <s v="Kenneth Jones"/>
    <n v="19"/>
    <x v="0"/>
    <x v="252"/>
    <d v="2025-07-15T00:00:00"/>
    <x v="1"/>
    <x v="3"/>
    <n v="6858.75"/>
    <x v="1"/>
    <n v="0.8"/>
    <n v="5487"/>
    <n v="1371.7499999999998"/>
    <n v="3"/>
    <n v="0"/>
    <x v="2"/>
  </r>
  <r>
    <s v="PAT-3587"/>
    <s v="Lisa Smith"/>
    <n v="9"/>
    <x v="1"/>
    <x v="88"/>
    <d v="2024-11-21T00:00:00"/>
    <x v="3"/>
    <x v="24"/>
    <n v="6485.39"/>
    <x v="2"/>
    <n v="0.7"/>
    <n v="4539.7730000000001"/>
    <n v="1945.6170000000004"/>
    <n v="5"/>
    <n v="0"/>
    <x v="4"/>
  </r>
  <r>
    <s v="PAT-3588"/>
    <s v="Anthony Miller"/>
    <n v="71"/>
    <x v="0"/>
    <x v="398"/>
    <d v="2024-07-29T00:00:00"/>
    <x v="2"/>
    <x v="10"/>
    <n v="5888.84"/>
    <x v="0"/>
    <n v="0.6"/>
    <n v="3533.3040000000001"/>
    <n v="2355.5360000000001"/>
    <n v="4"/>
    <n v="5888.84"/>
    <x v="1"/>
  </r>
  <r>
    <s v="PAT-3589"/>
    <s v="William Lopez"/>
    <n v="57"/>
    <x v="0"/>
    <x v="70"/>
    <d v="2025-04-02T00:00:00"/>
    <x v="2"/>
    <x v="21"/>
    <n v="988.37"/>
    <x v="0"/>
    <n v="0.9"/>
    <n v="889.53300000000002"/>
    <n v="98.836999999999975"/>
    <n v="1"/>
    <n v="988.37"/>
    <x v="0"/>
  </r>
  <r>
    <s v="PAT-3590"/>
    <s v="Thomas Harris"/>
    <n v="41"/>
    <x v="0"/>
    <x v="377"/>
    <d v="2024-01-26T00:00:00"/>
    <x v="4"/>
    <x v="26"/>
    <n v="20871.689999999999"/>
    <x v="2"/>
    <n v="0.6"/>
    <n v="12523.013999999999"/>
    <n v="8348.6759999999995"/>
    <n v="13"/>
    <n v="0"/>
    <x v="3"/>
  </r>
  <r>
    <s v="PAT-3591"/>
    <s v="Lisa Jackson"/>
    <n v="44"/>
    <x v="1"/>
    <x v="142"/>
    <d v="2025-10-02T00:00:00"/>
    <x v="5"/>
    <x v="28"/>
    <n v="14061.87"/>
    <x v="0"/>
    <n v="0.5"/>
    <n v="7030.9350000000004"/>
    <n v="7030.9350000000004"/>
    <n v="6"/>
    <n v="14061.87"/>
    <x v="3"/>
  </r>
  <r>
    <s v="PAT-3592"/>
    <s v="Andrew Hernandez"/>
    <n v="74"/>
    <x v="0"/>
    <x v="238"/>
    <d v="2024-09-27T00:00:00"/>
    <x v="2"/>
    <x v="5"/>
    <n v="3702.92"/>
    <x v="1"/>
    <n v="0.7"/>
    <n v="2592.0439999999999"/>
    <n v="1110.8760000000002"/>
    <n v="3"/>
    <n v="0"/>
    <x v="1"/>
  </r>
  <r>
    <s v="PAT-3593"/>
    <s v="Christopher Jackson"/>
    <n v="42"/>
    <x v="0"/>
    <x v="133"/>
    <d v="2024-04-04T00:00:00"/>
    <x v="0"/>
    <x v="19"/>
    <n v="6940.9"/>
    <x v="0"/>
    <n v="0.7"/>
    <n v="4858.6299999999992"/>
    <n v="2082.27"/>
    <n v="4"/>
    <n v="6940.9"/>
    <x v="3"/>
  </r>
  <r>
    <s v="PAT-3594"/>
    <s v="Joseph Clark"/>
    <n v="74"/>
    <x v="0"/>
    <x v="132"/>
    <d v="2025-07-20T00:00:00"/>
    <x v="0"/>
    <x v="1"/>
    <n v="25312.2"/>
    <x v="1"/>
    <n v="0.7"/>
    <n v="17718.54"/>
    <n v="7593.6600000000017"/>
    <n v="9"/>
    <n v="0"/>
    <x v="1"/>
  </r>
  <r>
    <s v="PAT-3595"/>
    <s v="Brian Clark"/>
    <n v="20"/>
    <x v="0"/>
    <x v="399"/>
    <d v="2025-03-26T00:00:00"/>
    <x v="1"/>
    <x v="31"/>
    <n v="4859.2700000000004"/>
    <x v="1"/>
    <n v="0.6"/>
    <n v="2915.5620000000004"/>
    <n v="1943.7080000000003"/>
    <n v="3"/>
    <n v="0"/>
    <x v="2"/>
  </r>
  <r>
    <s v="PAT-3596"/>
    <s v="Dorothy Garcia"/>
    <n v="7"/>
    <x v="1"/>
    <x v="400"/>
    <d v="2025-01-01T00:00:00"/>
    <x v="3"/>
    <x v="25"/>
    <n v="5071.3900000000003"/>
    <x v="2"/>
    <n v="0.9"/>
    <n v="4564.2510000000002"/>
    <n v="507.1389999999999"/>
    <n v="4"/>
    <n v="0"/>
    <x v="4"/>
  </r>
  <r>
    <s v="PAT-3597"/>
    <s v="Dorothy Robinson"/>
    <n v="46"/>
    <x v="1"/>
    <x v="401"/>
    <d v="2024-04-13T00:00:00"/>
    <x v="2"/>
    <x v="8"/>
    <n v="826.69"/>
    <x v="0"/>
    <n v="0.8"/>
    <n v="661.35200000000009"/>
    <n v="165.33799999999997"/>
    <n v="1"/>
    <n v="826.69"/>
    <x v="3"/>
  </r>
  <r>
    <s v="PAT-3598"/>
    <s v="Kenneth Thomas"/>
    <n v="75"/>
    <x v="0"/>
    <x v="30"/>
    <d v="2024-06-26T00:00:00"/>
    <x v="1"/>
    <x v="2"/>
    <n v="3573.44"/>
    <x v="0"/>
    <n v="0.8"/>
    <n v="2858.7520000000004"/>
    <n v="714.68799999999987"/>
    <n v="3"/>
    <n v="3573.44"/>
    <x v="1"/>
  </r>
  <r>
    <s v="PAT-3599"/>
    <s v="Betty Davis"/>
    <n v="17"/>
    <x v="1"/>
    <x v="4"/>
    <d v="2024-11-27T00:00:00"/>
    <x v="3"/>
    <x v="25"/>
    <n v="3120.86"/>
    <x v="0"/>
    <n v="0.7"/>
    <n v="2184.6019999999999"/>
    <n v="936.25800000000015"/>
    <n v="2"/>
    <n v="3120.86"/>
    <x v="4"/>
  </r>
  <r>
    <s v="PAT-3600"/>
    <s v="Jessica Anderson"/>
    <n v="36"/>
    <x v="1"/>
    <x v="402"/>
    <d v="2025-03-26T00:00:00"/>
    <x v="1"/>
    <x v="32"/>
    <n v="1050.82"/>
    <x v="1"/>
    <n v="0.7"/>
    <n v="735.57399999999996"/>
    <n v="315.24600000000004"/>
    <n v="1"/>
    <n v="0"/>
    <x v="3"/>
  </r>
  <r>
    <s v="PAT-3601"/>
    <s v="Barbara Hernandez"/>
    <n v="58"/>
    <x v="1"/>
    <x v="403"/>
    <d v="2024-03-20T00:00:00"/>
    <x v="1"/>
    <x v="2"/>
    <n v="4246.95"/>
    <x v="2"/>
    <n v="0.7"/>
    <n v="2972.8649999999998"/>
    <n v="1274.085"/>
    <n v="3"/>
    <n v="0"/>
    <x v="0"/>
  </r>
  <r>
    <s v="PAT-3602"/>
    <s v="Daniel Moore"/>
    <n v="24"/>
    <x v="0"/>
    <x v="404"/>
    <d v="2025-09-21T00:00:00"/>
    <x v="1"/>
    <x v="36"/>
    <n v="3111.41"/>
    <x v="0"/>
    <n v="0.9"/>
    <n v="2800.2689999999998"/>
    <n v="311.14099999999991"/>
    <n v="3"/>
    <n v="3111.41"/>
    <x v="2"/>
  </r>
  <r>
    <s v="PAT-3603"/>
    <s v="Ashley Moore"/>
    <n v="56"/>
    <x v="1"/>
    <x v="100"/>
    <d v="2024-12-09T00:00:00"/>
    <x v="2"/>
    <x v="4"/>
    <n v="6980.98"/>
    <x v="0"/>
    <n v="0.9"/>
    <n v="6282.8819999999996"/>
    <n v="698.09799999999984"/>
    <n v="5"/>
    <n v="6980.98"/>
    <x v="0"/>
  </r>
  <r>
    <s v="PAT-3604"/>
    <s v="Paul Smith"/>
    <n v="41"/>
    <x v="0"/>
    <x v="405"/>
    <d v="2024-02-17T00:00:00"/>
    <x v="5"/>
    <x v="30"/>
    <n v="11620.41"/>
    <x v="0"/>
    <n v="1"/>
    <n v="11620.41"/>
    <n v="0"/>
    <n v="9"/>
    <n v="11620.41"/>
    <x v="3"/>
  </r>
  <r>
    <s v="PAT-3605"/>
    <s v="Donna Ramirez"/>
    <n v="50"/>
    <x v="1"/>
    <x v="406"/>
    <d v="2025-07-25T00:00:00"/>
    <x v="1"/>
    <x v="3"/>
    <n v="3974.41"/>
    <x v="0"/>
    <n v="0.5"/>
    <n v="1987.2049999999999"/>
    <n v="1987.2049999999999"/>
    <n v="3"/>
    <n v="3974.41"/>
    <x v="3"/>
  </r>
  <r>
    <s v="PAT-3606"/>
    <s v="Richard Robinson"/>
    <n v="72"/>
    <x v="0"/>
    <x v="407"/>
    <d v="2024-06-16T00:00:00"/>
    <x v="5"/>
    <x v="28"/>
    <n v="14702.17"/>
    <x v="1"/>
    <n v="0.8"/>
    <n v="11761.736000000001"/>
    <n v="2940.4339999999993"/>
    <n v="6"/>
    <n v="0"/>
    <x v="1"/>
  </r>
  <r>
    <s v="PAT-3607"/>
    <s v="Thomas Perez"/>
    <n v="41"/>
    <x v="0"/>
    <x v="408"/>
    <d v="2025-05-25T00:00:00"/>
    <x v="0"/>
    <x v="29"/>
    <n v="17086.830000000002"/>
    <x v="0"/>
    <n v="0.9"/>
    <n v="15378.147000000003"/>
    <n v="1708.6829999999998"/>
    <n v="7"/>
    <n v="17086.830000000002"/>
    <x v="3"/>
  </r>
  <r>
    <s v="PAT-3608"/>
    <s v="Richard Anderson"/>
    <n v="24"/>
    <x v="0"/>
    <x v="377"/>
    <d v="2024-01-14T00:00:00"/>
    <x v="1"/>
    <x v="15"/>
    <n v="867.61"/>
    <x v="0"/>
    <n v="1"/>
    <n v="867.61"/>
    <n v="0"/>
    <n v="1"/>
    <n v="867.61"/>
    <x v="2"/>
  </r>
  <r>
    <s v="PAT-3609"/>
    <s v="Dorothy Martin"/>
    <n v="51"/>
    <x v="1"/>
    <x v="213"/>
    <d v="2025-04-23T00:00:00"/>
    <x v="2"/>
    <x v="4"/>
    <n v="4084.48"/>
    <x v="0"/>
    <n v="0.8"/>
    <n v="3267.5840000000003"/>
    <n v="816.89599999999984"/>
    <n v="6"/>
    <n v="4084.48"/>
    <x v="0"/>
  </r>
  <r>
    <s v="PAT-3610"/>
    <s v="Kimberly Lee"/>
    <n v="84"/>
    <x v="1"/>
    <x v="94"/>
    <d v="2025-07-28T00:00:00"/>
    <x v="2"/>
    <x v="5"/>
    <n v="1290.53"/>
    <x v="0"/>
    <n v="0.9"/>
    <n v="1161.4770000000001"/>
    <n v="129.05299999999997"/>
    <n v="1"/>
    <n v="1290.53"/>
    <x v="1"/>
  </r>
  <r>
    <s v="PAT-3611"/>
    <s v="Ashley Martinez"/>
    <n v="3"/>
    <x v="1"/>
    <x v="38"/>
    <d v="2024-12-21T00:00:00"/>
    <x v="3"/>
    <x v="24"/>
    <n v="3707.94"/>
    <x v="0"/>
    <n v="0.9"/>
    <n v="3337.1460000000002"/>
    <n v="370.79399999999993"/>
    <n v="4"/>
    <n v="3707.94"/>
    <x v="4"/>
  </r>
  <r>
    <s v="PAT-3612"/>
    <s v="Joseph Jones"/>
    <n v="57"/>
    <x v="0"/>
    <x v="409"/>
    <d v="2025-05-11T00:00:00"/>
    <x v="5"/>
    <x v="12"/>
    <n v="15346.13"/>
    <x v="0"/>
    <n v="0.8"/>
    <n v="12276.904"/>
    <n v="3069.2259999999992"/>
    <n v="9"/>
    <n v="15346.13"/>
    <x v="0"/>
  </r>
  <r>
    <s v="PAT-3613"/>
    <s v="Sarah Moore"/>
    <n v="45"/>
    <x v="1"/>
    <x v="125"/>
    <d v="2025-04-07T00:00:00"/>
    <x v="2"/>
    <x v="10"/>
    <n v="4821.37"/>
    <x v="0"/>
    <n v="0.8"/>
    <n v="3857.096"/>
    <n v="964.27399999999977"/>
    <n v="5"/>
    <n v="4821.37"/>
    <x v="3"/>
  </r>
  <r>
    <s v="PAT-3614"/>
    <s v="Paul Hernandez"/>
    <n v="69"/>
    <x v="0"/>
    <x v="410"/>
    <d v="2025-09-01T00:00:00"/>
    <x v="0"/>
    <x v="19"/>
    <n v="15787.69"/>
    <x v="0"/>
    <n v="1"/>
    <n v="15787.69"/>
    <n v="0"/>
    <n v="7"/>
    <n v="15787.69"/>
    <x v="1"/>
  </r>
  <r>
    <s v="PAT-3615"/>
    <s v="Kimberly Jones"/>
    <n v="14"/>
    <x v="1"/>
    <x v="394"/>
    <d v="2025-09-26T00:00:00"/>
    <x v="3"/>
    <x v="23"/>
    <n v="5118.0600000000004"/>
    <x v="0"/>
    <n v="0.8"/>
    <n v="4094.4480000000003"/>
    <n v="1023.6119999999999"/>
    <n v="3"/>
    <n v="5118.0600000000004"/>
    <x v="4"/>
  </r>
  <r>
    <s v="PAT-3616"/>
    <s v="Sandra Lewis"/>
    <n v="36"/>
    <x v="1"/>
    <x v="38"/>
    <d v="2024-12-18T00:00:00"/>
    <x v="1"/>
    <x v="7"/>
    <n v="1184.98"/>
    <x v="0"/>
    <n v="0.8"/>
    <n v="947.98400000000004"/>
    <n v="236.99599999999995"/>
    <n v="1"/>
    <n v="1184.98"/>
    <x v="3"/>
  </r>
  <r>
    <s v="PAT-3617"/>
    <s v="Nancy Martinez"/>
    <n v="16"/>
    <x v="1"/>
    <x v="411"/>
    <d v="2024-01-29T00:00:00"/>
    <x v="3"/>
    <x v="37"/>
    <n v="2558.2800000000002"/>
    <x v="0"/>
    <n v="0.9"/>
    <n v="2302.4520000000002"/>
    <n v="255.82799999999997"/>
    <n v="3"/>
    <n v="2558.2800000000002"/>
    <x v="4"/>
  </r>
  <r>
    <s v="PAT-3618"/>
    <s v="Daniel Robinson"/>
    <n v="76"/>
    <x v="0"/>
    <x v="268"/>
    <d v="2025-01-16T00:00:00"/>
    <x v="0"/>
    <x v="20"/>
    <n v="3998.34"/>
    <x v="0"/>
    <n v="1"/>
    <n v="3998.34"/>
    <n v="0"/>
    <n v="3"/>
    <n v="3998.34"/>
    <x v="1"/>
  </r>
  <r>
    <s v="PAT-3619"/>
    <s v="Lisa Brown"/>
    <n v="68"/>
    <x v="1"/>
    <x v="175"/>
    <d v="2024-12-03T00:00:00"/>
    <x v="4"/>
    <x v="13"/>
    <n v="4286.6400000000003"/>
    <x v="1"/>
    <n v="0.7"/>
    <n v="3000.6480000000001"/>
    <n v="1285.9920000000002"/>
    <n v="3"/>
    <n v="0"/>
    <x v="1"/>
  </r>
  <r>
    <s v="PAT-3620"/>
    <s v="Mary Garcia"/>
    <n v="73"/>
    <x v="1"/>
    <x v="412"/>
    <d v="2025-11-04T00:00:00"/>
    <x v="0"/>
    <x v="6"/>
    <n v="21392.04"/>
    <x v="0"/>
    <n v="0.8"/>
    <n v="17113.632000000001"/>
    <n v="4278.4079999999994"/>
    <n v="9"/>
    <n v="21392.04"/>
    <x v="1"/>
  </r>
  <r>
    <s v="PAT-3621"/>
    <s v="Robert Ramirez"/>
    <n v="37"/>
    <x v="0"/>
    <x v="353"/>
    <d v="2025-11-24T00:00:00"/>
    <x v="1"/>
    <x v="7"/>
    <n v="3201.39"/>
    <x v="0"/>
    <n v="0.8"/>
    <n v="2561.1120000000001"/>
    <n v="640.27799999999979"/>
    <n v="2"/>
    <n v="3201.39"/>
    <x v="3"/>
  </r>
  <r>
    <s v="PAT-3622"/>
    <s v="Anthony Clark"/>
    <n v="11"/>
    <x v="0"/>
    <x v="413"/>
    <d v="2024-07-30T00:00:00"/>
    <x v="3"/>
    <x v="23"/>
    <n v="3300.07"/>
    <x v="0"/>
    <n v="1"/>
    <n v="3300.07"/>
    <n v="0"/>
    <n v="2"/>
    <n v="3300.07"/>
    <x v="4"/>
  </r>
  <r>
    <s v="PAT-3623"/>
    <s v="Paul Martinez"/>
    <n v="7"/>
    <x v="0"/>
    <x v="414"/>
    <d v="2025-06-05T00:00:00"/>
    <x v="3"/>
    <x v="24"/>
    <n v="784.49"/>
    <x v="0"/>
    <n v="0.9"/>
    <n v="706.04100000000005"/>
    <n v="78.448999999999984"/>
    <n v="1"/>
    <n v="784.49"/>
    <x v="4"/>
  </r>
  <r>
    <s v="PAT-3624"/>
    <s v="Brian Lopez"/>
    <n v="26"/>
    <x v="0"/>
    <x v="15"/>
    <d v="2025-02-08T00:00:00"/>
    <x v="2"/>
    <x v="8"/>
    <n v="1170.5999999999999"/>
    <x v="0"/>
    <n v="0.8"/>
    <n v="936.48"/>
    <n v="234.11999999999992"/>
    <n v="1"/>
    <n v="1170.5999999999999"/>
    <x v="2"/>
  </r>
  <r>
    <s v="PAT-3625"/>
    <s v="Richard Rodriguez"/>
    <n v="61"/>
    <x v="0"/>
    <x v="415"/>
    <d v="2024-11-08T00:00:00"/>
    <x v="0"/>
    <x v="0"/>
    <n v="11503.8"/>
    <x v="2"/>
    <n v="0.6"/>
    <n v="6902.28"/>
    <n v="4601.5199999999995"/>
    <n v="4"/>
    <n v="0"/>
    <x v="0"/>
  </r>
  <r>
    <s v="PAT-3626"/>
    <s v="Jessica Ramirez"/>
    <n v="8"/>
    <x v="1"/>
    <x v="416"/>
    <d v="2025-06-30T00:00:00"/>
    <x v="3"/>
    <x v="25"/>
    <n v="1522.86"/>
    <x v="1"/>
    <n v="0.9"/>
    <n v="1370.5739999999998"/>
    <n v="152.28599999999994"/>
    <n v="2"/>
    <n v="0"/>
    <x v="4"/>
  </r>
  <r>
    <s v="PAT-3627"/>
    <s v="Sandra Jackson"/>
    <n v="78"/>
    <x v="1"/>
    <x v="177"/>
    <d v="2025-02-27T00:00:00"/>
    <x v="5"/>
    <x v="17"/>
    <n v="22757.119999999999"/>
    <x v="0"/>
    <n v="0.9"/>
    <n v="20481.407999999999"/>
    <n v="2275.7119999999995"/>
    <n v="10"/>
    <n v="22757.119999999999"/>
    <x v="1"/>
  </r>
  <r>
    <s v="PAT-3628"/>
    <s v="Daniel Jones"/>
    <n v="11"/>
    <x v="0"/>
    <x v="417"/>
    <d v="2024-09-06T00:00:00"/>
    <x v="3"/>
    <x v="24"/>
    <n v="3197.15"/>
    <x v="2"/>
    <n v="0.7"/>
    <n v="2238.0050000000001"/>
    <n v="959.14500000000021"/>
    <n v="5"/>
    <n v="0"/>
    <x v="4"/>
  </r>
  <r>
    <s v="PAT-3629"/>
    <s v="Sarah Ramirez"/>
    <n v="73"/>
    <x v="1"/>
    <x v="303"/>
    <d v="2024-05-31T00:00:00"/>
    <x v="2"/>
    <x v="4"/>
    <n v="2710.85"/>
    <x v="1"/>
    <n v="0.6"/>
    <n v="1626.51"/>
    <n v="1084.3399999999999"/>
    <n v="2"/>
    <n v="0"/>
    <x v="1"/>
  </r>
  <r>
    <s v="PAT-3630"/>
    <s v="Michelle Young"/>
    <n v="84"/>
    <x v="1"/>
    <x v="404"/>
    <d v="2025-09-20T00:00:00"/>
    <x v="1"/>
    <x v="31"/>
    <n v="4532.09"/>
    <x v="1"/>
    <n v="0.9"/>
    <n v="4078.8810000000003"/>
    <n v="453.20899999999989"/>
    <n v="2"/>
    <n v="0"/>
    <x v="1"/>
  </r>
  <r>
    <s v="PAT-3631"/>
    <s v="Daniel Hernandez"/>
    <n v="43"/>
    <x v="0"/>
    <x v="300"/>
    <d v="2025-07-22T00:00:00"/>
    <x v="4"/>
    <x v="11"/>
    <n v="4972.62"/>
    <x v="0"/>
    <n v="0.8"/>
    <n v="3978.096"/>
    <n v="994.52399999999977"/>
    <n v="3"/>
    <n v="4972.62"/>
    <x v="3"/>
  </r>
  <r>
    <s v="PAT-3632"/>
    <s v="Robert Rodriguez"/>
    <n v="1"/>
    <x v="0"/>
    <x v="418"/>
    <d v="2024-11-15T00:00:00"/>
    <x v="3"/>
    <x v="37"/>
    <n v="3235.05"/>
    <x v="0"/>
    <n v="0.7"/>
    <n v="2264.5349999999999"/>
    <n v="970.51500000000021"/>
    <n v="2"/>
    <n v="3235.05"/>
    <x v="4"/>
  </r>
  <r>
    <s v="PAT-3633"/>
    <s v="Emily Jones"/>
    <n v="49"/>
    <x v="1"/>
    <x v="270"/>
    <d v="2025-10-09T00:00:00"/>
    <x v="2"/>
    <x v="21"/>
    <n v="2401.17"/>
    <x v="1"/>
    <n v="0.9"/>
    <n v="2161.0530000000003"/>
    <n v="240.11699999999996"/>
    <n v="2"/>
    <n v="0"/>
    <x v="3"/>
  </r>
  <r>
    <s v="PAT-3634"/>
    <s v="Donna Garcia"/>
    <n v="51"/>
    <x v="1"/>
    <x v="419"/>
    <d v="2024-05-19T00:00:00"/>
    <x v="4"/>
    <x v="27"/>
    <n v="33210.050000000003"/>
    <x v="1"/>
    <n v="0.8"/>
    <n v="26568.040000000005"/>
    <n v="6642.0099999999993"/>
    <n v="12"/>
    <n v="0"/>
    <x v="0"/>
  </r>
  <r>
    <s v="PAT-3635"/>
    <s v="Donna Lewis"/>
    <n v="73"/>
    <x v="1"/>
    <x v="38"/>
    <d v="2024-12-27T00:00:00"/>
    <x v="4"/>
    <x v="13"/>
    <n v="23689.65"/>
    <x v="0"/>
    <n v="0.9"/>
    <n v="21320.685000000001"/>
    <n v="2368.9649999999997"/>
    <n v="10"/>
    <n v="23689.65"/>
    <x v="1"/>
  </r>
  <r>
    <s v="PAT-3636"/>
    <s v="Steven Thompson"/>
    <n v="26"/>
    <x v="0"/>
    <x v="420"/>
    <d v="2025-11-02T00:00:00"/>
    <x v="2"/>
    <x v="4"/>
    <n v="2927.98"/>
    <x v="0"/>
    <n v="1"/>
    <n v="2927.98"/>
    <n v="0"/>
    <n v="3"/>
    <n v="2927.98"/>
    <x v="2"/>
  </r>
  <r>
    <s v="PAT-3637"/>
    <s v="Karen Thomas"/>
    <n v="58"/>
    <x v="1"/>
    <x v="421"/>
    <d v="2025-04-22T00:00:00"/>
    <x v="0"/>
    <x v="19"/>
    <n v="10908.77"/>
    <x v="1"/>
    <n v="0.9"/>
    <n v="9817.893"/>
    <n v="1090.8769999999997"/>
    <n v="9"/>
    <n v="0"/>
    <x v="0"/>
  </r>
  <r>
    <s v="PAT-3638"/>
    <s v="Thomas Martinez"/>
    <n v="65"/>
    <x v="0"/>
    <x v="107"/>
    <d v="2024-07-10T00:00:00"/>
    <x v="0"/>
    <x v="1"/>
    <n v="9405.2000000000007"/>
    <x v="1"/>
    <n v="0.7"/>
    <n v="6583.64"/>
    <n v="2821.5600000000009"/>
    <n v="5"/>
    <n v="0"/>
    <x v="0"/>
  </r>
  <r>
    <s v="PAT-3639"/>
    <s v="Jennifer Harris"/>
    <n v="37"/>
    <x v="1"/>
    <x v="247"/>
    <d v="2025-08-27T00:00:00"/>
    <x v="5"/>
    <x v="12"/>
    <n v="11960.8"/>
    <x v="0"/>
    <n v="0.8"/>
    <n v="9568.64"/>
    <n v="2392.1599999999994"/>
    <n v="8"/>
    <n v="11960.8"/>
    <x v="3"/>
  </r>
  <r>
    <s v="PAT-3640"/>
    <s v="Michael Garcia"/>
    <n v="68"/>
    <x v="0"/>
    <x v="422"/>
    <d v="2024-09-03T00:00:00"/>
    <x v="2"/>
    <x v="8"/>
    <n v="1174.7"/>
    <x v="1"/>
    <n v="0.9"/>
    <n v="1057.23"/>
    <n v="117.46999999999998"/>
    <n v="1"/>
    <n v="0"/>
    <x v="1"/>
  </r>
  <r>
    <s v="PAT-3641"/>
    <s v="Kenneth Lee"/>
    <n v="41"/>
    <x v="0"/>
    <x v="423"/>
    <d v="2024-01-30T00:00:00"/>
    <x v="2"/>
    <x v="33"/>
    <n v="6487.34"/>
    <x v="0"/>
    <n v="0.8"/>
    <n v="5189.8720000000003"/>
    <n v="1297.4679999999998"/>
    <n v="7"/>
    <n v="6487.34"/>
    <x v="3"/>
  </r>
  <r>
    <s v="PAT-3642"/>
    <s v="Anthony Moore"/>
    <n v="40"/>
    <x v="0"/>
    <x v="65"/>
    <d v="2025-04-07T00:00:00"/>
    <x v="1"/>
    <x v="36"/>
    <n v="3282.55"/>
    <x v="1"/>
    <n v="0.7"/>
    <n v="2297.7849999999999"/>
    <n v="984.76500000000021"/>
    <n v="2"/>
    <n v="0"/>
    <x v="3"/>
  </r>
  <r>
    <s v="PAT-3643"/>
    <s v="Ashley Jones"/>
    <n v="55"/>
    <x v="1"/>
    <x v="198"/>
    <d v="2025-03-06T00:00:00"/>
    <x v="4"/>
    <x v="14"/>
    <n v="13468.92"/>
    <x v="0"/>
    <n v="0.8"/>
    <n v="10775.136"/>
    <n v="2693.7839999999992"/>
    <n v="6"/>
    <n v="13468.92"/>
    <x v="0"/>
  </r>
  <r>
    <s v="PAT-3644"/>
    <s v="Thomas Thompson"/>
    <n v="76"/>
    <x v="0"/>
    <x v="230"/>
    <d v="2025-08-04T00:00:00"/>
    <x v="0"/>
    <x v="0"/>
    <n v="7431.19"/>
    <x v="1"/>
    <n v="0.8"/>
    <n v="5944.9520000000002"/>
    <n v="1486.2379999999996"/>
    <n v="5"/>
    <n v="0"/>
    <x v="1"/>
  </r>
  <r>
    <s v="PAT-3645"/>
    <s v="Nancy Davis"/>
    <n v="77"/>
    <x v="1"/>
    <x v="88"/>
    <d v="2024-11-20T00:00:00"/>
    <x v="5"/>
    <x v="17"/>
    <n v="4416.84"/>
    <x v="2"/>
    <n v="0.8"/>
    <n v="3533.4720000000002"/>
    <n v="883.36799999999982"/>
    <n v="4"/>
    <n v="0"/>
    <x v="1"/>
  </r>
  <r>
    <s v="PAT-3646"/>
    <s v="Michael Johnson"/>
    <n v="77"/>
    <x v="0"/>
    <x v="10"/>
    <d v="2025-11-07T00:00:00"/>
    <x v="1"/>
    <x v="2"/>
    <n v="1265.79"/>
    <x v="1"/>
    <n v="0.8"/>
    <n v="1012.6320000000001"/>
    <n v="253.15799999999993"/>
    <n v="1"/>
    <n v="0"/>
    <x v="1"/>
  </r>
  <r>
    <s v="PAT-3647"/>
    <s v="Linda Davis"/>
    <n v="47"/>
    <x v="1"/>
    <x v="184"/>
    <d v="2024-08-10T00:00:00"/>
    <x v="2"/>
    <x v="21"/>
    <n v="7496.19"/>
    <x v="0"/>
    <n v="0.8"/>
    <n v="5996.9520000000002"/>
    <n v="1499.2379999999996"/>
    <n v="5"/>
    <n v="7496.19"/>
    <x v="3"/>
  </r>
  <r>
    <s v="PAT-3648"/>
    <s v="Jennifer Jackson"/>
    <n v="46"/>
    <x v="1"/>
    <x v="424"/>
    <d v="2024-04-03T00:00:00"/>
    <x v="2"/>
    <x v="5"/>
    <n v="5991.42"/>
    <x v="2"/>
    <n v="1"/>
    <n v="5991.42"/>
    <n v="0"/>
    <n v="4"/>
    <n v="0"/>
    <x v="3"/>
  </r>
  <r>
    <s v="PAT-3649"/>
    <s v="Thomas Jones"/>
    <n v="62"/>
    <x v="0"/>
    <x v="315"/>
    <d v="2024-05-26T00:00:00"/>
    <x v="0"/>
    <x v="0"/>
    <n v="12878.2"/>
    <x v="0"/>
    <n v="0.8"/>
    <n v="10302.560000000001"/>
    <n v="2575.6399999999994"/>
    <n v="10"/>
    <n v="12878.2"/>
    <x v="0"/>
  </r>
  <r>
    <s v="PAT-3650"/>
    <s v="Steven Walker"/>
    <n v="5"/>
    <x v="0"/>
    <x v="425"/>
    <d v="2025-12-21T00:00:00"/>
    <x v="3"/>
    <x v="25"/>
    <n v="4752.84"/>
    <x v="0"/>
    <n v="0.8"/>
    <n v="3802.2720000000004"/>
    <n v="950.56799999999987"/>
    <n v="4"/>
    <n v="4752.84"/>
    <x v="4"/>
  </r>
  <r>
    <s v="PAT-3651"/>
    <s v="Thomas Robinson"/>
    <n v="34"/>
    <x v="0"/>
    <x v="56"/>
    <d v="2024-05-24T00:00:00"/>
    <x v="2"/>
    <x v="10"/>
    <n v="1394.75"/>
    <x v="1"/>
    <n v="0"/>
    <n v="0"/>
    <n v="1394.75"/>
    <n v="1"/>
    <n v="0"/>
    <x v="2"/>
  </r>
  <r>
    <s v="PAT-3652"/>
    <s v="Michael Thomas"/>
    <n v="59"/>
    <x v="0"/>
    <x v="273"/>
    <d v="2024-08-23T00:00:00"/>
    <x v="1"/>
    <x v="3"/>
    <n v="3366.33"/>
    <x v="1"/>
    <n v="0.7"/>
    <n v="2356.4309999999996"/>
    <n v="1009.8990000000001"/>
    <n v="2"/>
    <n v="0"/>
    <x v="0"/>
  </r>
  <r>
    <s v="PAT-3653"/>
    <s v="Sarah Young"/>
    <n v="65"/>
    <x v="1"/>
    <x v="84"/>
    <d v="2024-10-30T00:00:00"/>
    <x v="0"/>
    <x v="1"/>
    <n v="9890.23"/>
    <x v="0"/>
    <n v="0.8"/>
    <n v="7912.1840000000002"/>
    <n v="1978.0459999999994"/>
    <n v="6"/>
    <n v="9890.23"/>
    <x v="0"/>
  </r>
  <r>
    <s v="PAT-3654"/>
    <s v="David Wilson"/>
    <n v="44"/>
    <x v="0"/>
    <x v="426"/>
    <d v="2024-04-01T00:00:00"/>
    <x v="0"/>
    <x v="0"/>
    <n v="10351.120000000001"/>
    <x v="1"/>
    <n v="0.8"/>
    <n v="8280.8960000000006"/>
    <n v="2070.2239999999997"/>
    <n v="4"/>
    <n v="0"/>
    <x v="3"/>
  </r>
  <r>
    <s v="PAT-3655"/>
    <s v="Steven Walker"/>
    <n v="17"/>
    <x v="0"/>
    <x v="427"/>
    <d v="2025-10-26T00:00:00"/>
    <x v="3"/>
    <x v="9"/>
    <n v="836.96"/>
    <x v="0"/>
    <n v="0.7"/>
    <n v="585.87199999999996"/>
    <n v="251.08800000000005"/>
    <n v="1"/>
    <n v="836.96"/>
    <x v="4"/>
  </r>
  <r>
    <s v="PAT-3656"/>
    <s v="Dorothy Perez"/>
    <n v="16"/>
    <x v="1"/>
    <x v="140"/>
    <d v="2024-07-28T00:00:00"/>
    <x v="3"/>
    <x v="22"/>
    <n v="6886.9"/>
    <x v="1"/>
    <n v="0.5"/>
    <n v="3443.45"/>
    <n v="3443.45"/>
    <n v="5"/>
    <n v="0"/>
    <x v="4"/>
  </r>
  <r>
    <s v="PAT-3657"/>
    <s v="Kenneth Perez"/>
    <n v="3"/>
    <x v="0"/>
    <x v="428"/>
    <d v="2024-04-11T00:00:00"/>
    <x v="3"/>
    <x v="24"/>
    <n v="7993.91"/>
    <x v="2"/>
    <n v="0.9"/>
    <n v="7194.5190000000002"/>
    <n v="799.39099999999985"/>
    <n v="5"/>
    <n v="0"/>
    <x v="4"/>
  </r>
  <r>
    <s v="PAT-3658"/>
    <s v="Richard Moore"/>
    <n v="79"/>
    <x v="0"/>
    <x v="142"/>
    <d v="2025-10-03T00:00:00"/>
    <x v="2"/>
    <x v="10"/>
    <n v="9475.6200000000008"/>
    <x v="0"/>
    <n v="0.9"/>
    <n v="8528.0580000000009"/>
    <n v="947.5619999999999"/>
    <n v="7"/>
    <n v="9475.6200000000008"/>
    <x v="1"/>
  </r>
  <r>
    <s v="PAT-3659"/>
    <s v="Kenneth Davis"/>
    <n v="10"/>
    <x v="0"/>
    <x v="357"/>
    <d v="2025-11-19T00:00:00"/>
    <x v="3"/>
    <x v="22"/>
    <n v="8509.42"/>
    <x v="0"/>
    <n v="0"/>
    <n v="0"/>
    <n v="8509.42"/>
    <n v="5"/>
    <n v="8509.42"/>
    <x v="4"/>
  </r>
  <r>
    <s v="PAT-3660"/>
    <s v="Robert Lopez"/>
    <n v="50"/>
    <x v="0"/>
    <x v="429"/>
    <d v="2024-12-17T00:00:00"/>
    <x v="4"/>
    <x v="14"/>
    <n v="20107.36"/>
    <x v="0"/>
    <n v="0.7"/>
    <n v="14075.152"/>
    <n v="6032.2080000000014"/>
    <n v="8"/>
    <n v="20107.36"/>
    <x v="3"/>
  </r>
  <r>
    <s v="PAT-3661"/>
    <s v="Matthew Hernandez"/>
    <n v="29"/>
    <x v="0"/>
    <x v="178"/>
    <d v="2024-07-28T00:00:00"/>
    <x v="4"/>
    <x v="18"/>
    <n v="26732.79"/>
    <x v="0"/>
    <n v="0.8"/>
    <n v="21386.232000000004"/>
    <n v="5346.5579999999991"/>
    <n v="10"/>
    <n v="26732.79"/>
    <x v="2"/>
  </r>
  <r>
    <s v="PAT-3662"/>
    <s v="Christopher Thompson"/>
    <n v="27"/>
    <x v="0"/>
    <x v="230"/>
    <d v="2025-07-31T00:00:00"/>
    <x v="1"/>
    <x v="7"/>
    <n v="2285.5"/>
    <x v="0"/>
    <n v="0.5"/>
    <n v="1142.75"/>
    <n v="1142.75"/>
    <n v="1"/>
    <n v="2285.5"/>
    <x v="2"/>
  </r>
  <r>
    <s v="PAT-3663"/>
    <s v="Sarah Williams"/>
    <n v="11"/>
    <x v="1"/>
    <x v="430"/>
    <d v="2024-05-10T00:00:00"/>
    <x v="3"/>
    <x v="9"/>
    <n v="3830.25"/>
    <x v="1"/>
    <n v="0.9"/>
    <n v="3447.2249999999999"/>
    <n v="383.02499999999992"/>
    <n v="4"/>
    <n v="0"/>
    <x v="4"/>
  </r>
  <r>
    <s v="PAT-3664"/>
    <s v="Donna Brown"/>
    <n v="17"/>
    <x v="1"/>
    <x v="354"/>
    <d v="2024-05-31T00:00:00"/>
    <x v="3"/>
    <x v="24"/>
    <n v="3322.2"/>
    <x v="0"/>
    <n v="0.6"/>
    <n v="1993.3199999999997"/>
    <n v="1328.88"/>
    <n v="5"/>
    <n v="3322.2"/>
    <x v="4"/>
  </r>
  <r>
    <s v="PAT-3665"/>
    <s v="Carol Smith"/>
    <n v="42"/>
    <x v="1"/>
    <x v="172"/>
    <d v="2024-10-28T00:00:00"/>
    <x v="0"/>
    <x v="6"/>
    <n v="16467.43"/>
    <x v="0"/>
    <n v="0.7"/>
    <n v="11527.200999999999"/>
    <n v="4940.2290000000012"/>
    <n v="8"/>
    <n v="16467.43"/>
    <x v="3"/>
  </r>
  <r>
    <s v="PAT-3666"/>
    <s v="Karen Martinez"/>
    <n v="57"/>
    <x v="1"/>
    <x v="347"/>
    <d v="2024-07-09T00:00:00"/>
    <x v="4"/>
    <x v="26"/>
    <n v="11600.46"/>
    <x v="0"/>
    <n v="1"/>
    <n v="11600.46"/>
    <n v="0"/>
    <n v="5"/>
    <n v="11600.46"/>
    <x v="0"/>
  </r>
  <r>
    <s v="PAT-3667"/>
    <s v="Brian Perez"/>
    <n v="64"/>
    <x v="0"/>
    <x v="431"/>
    <d v="2024-02-22T00:00:00"/>
    <x v="5"/>
    <x v="28"/>
    <n v="15327.29"/>
    <x v="0"/>
    <n v="0.8"/>
    <n v="12261.832000000002"/>
    <n v="3065.4579999999996"/>
    <n v="10"/>
    <n v="15327.29"/>
    <x v="0"/>
  </r>
  <r>
    <s v="PAT-3668"/>
    <s v="Kenneth Wilson"/>
    <n v="47"/>
    <x v="0"/>
    <x v="18"/>
    <d v="2024-12-30T00:00:00"/>
    <x v="2"/>
    <x v="10"/>
    <n v="6289.07"/>
    <x v="1"/>
    <n v="1"/>
    <n v="6289.07"/>
    <n v="0"/>
    <n v="7"/>
    <n v="0"/>
    <x v="3"/>
  </r>
  <r>
    <s v="PAT-3669"/>
    <s v="Michelle Anderson"/>
    <n v="45"/>
    <x v="1"/>
    <x v="361"/>
    <d v="2025-01-07T00:00:00"/>
    <x v="5"/>
    <x v="35"/>
    <n v="4517.8599999999997"/>
    <x v="1"/>
    <n v="0.8"/>
    <n v="3614.288"/>
    <n v="903.57199999999978"/>
    <n v="3"/>
    <n v="0"/>
    <x v="3"/>
  </r>
  <r>
    <s v="PAT-3670"/>
    <s v="Kimberly Clark"/>
    <n v="13"/>
    <x v="1"/>
    <x v="432"/>
    <d v="2024-07-22T00:00:00"/>
    <x v="3"/>
    <x v="23"/>
    <n v="3226.45"/>
    <x v="0"/>
    <n v="0.9"/>
    <n v="2903.8049999999998"/>
    <n v="322.64499999999992"/>
    <n v="2"/>
    <n v="3226.45"/>
    <x v="4"/>
  </r>
  <r>
    <s v="PAT-3671"/>
    <s v="Elizabeth Harris"/>
    <n v="2"/>
    <x v="1"/>
    <x v="433"/>
    <d v="2024-03-20T00:00:00"/>
    <x v="3"/>
    <x v="37"/>
    <n v="1704.46"/>
    <x v="1"/>
    <n v="0.6"/>
    <n v="1022.6759999999999"/>
    <n v="681.78400000000011"/>
    <n v="2"/>
    <n v="0"/>
    <x v="4"/>
  </r>
  <r>
    <s v="PAT-3672"/>
    <s v="Robert Clark"/>
    <n v="55"/>
    <x v="0"/>
    <x v="434"/>
    <d v="2025-07-18T00:00:00"/>
    <x v="2"/>
    <x v="16"/>
    <n v="921.05"/>
    <x v="2"/>
    <n v="0.7"/>
    <n v="644.7349999999999"/>
    <n v="276.31500000000005"/>
    <n v="1"/>
    <n v="0"/>
    <x v="0"/>
  </r>
  <r>
    <s v="PAT-3673"/>
    <s v="Emily Rodriguez"/>
    <n v="78"/>
    <x v="1"/>
    <x v="435"/>
    <d v="2024-04-29T00:00:00"/>
    <x v="2"/>
    <x v="21"/>
    <n v="3751.44"/>
    <x v="0"/>
    <n v="0.8"/>
    <n v="3001.152"/>
    <n v="750.2879999999999"/>
    <n v="7"/>
    <n v="3751.44"/>
    <x v="1"/>
  </r>
  <r>
    <s v="PAT-3674"/>
    <s v="James Lewis"/>
    <n v="73"/>
    <x v="0"/>
    <x v="434"/>
    <d v="2025-07-21T00:00:00"/>
    <x v="2"/>
    <x v="5"/>
    <n v="5182.1499999999996"/>
    <x v="2"/>
    <n v="0.7"/>
    <n v="3627.5049999999997"/>
    <n v="1554.6450000000002"/>
    <n v="4"/>
    <n v="0"/>
    <x v="1"/>
  </r>
  <r>
    <s v="PAT-3675"/>
    <s v="Richard Williams"/>
    <n v="57"/>
    <x v="0"/>
    <x v="436"/>
    <d v="2025-11-10T00:00:00"/>
    <x v="0"/>
    <x v="0"/>
    <n v="13365.24"/>
    <x v="2"/>
    <n v="0.7"/>
    <n v="9355.6679999999997"/>
    <n v="4009.5720000000006"/>
    <n v="6"/>
    <n v="0"/>
    <x v="0"/>
  </r>
  <r>
    <s v="PAT-3676"/>
    <s v="Carol Clark"/>
    <n v="75"/>
    <x v="1"/>
    <x v="412"/>
    <d v="2025-11-06T00:00:00"/>
    <x v="4"/>
    <x v="18"/>
    <n v="14351.59"/>
    <x v="0"/>
    <n v="0.5"/>
    <n v="7175.7950000000001"/>
    <n v="7175.7950000000001"/>
    <n v="11"/>
    <n v="14351.59"/>
    <x v="1"/>
  </r>
  <r>
    <s v="PAT-3677"/>
    <s v="Christopher Thompson"/>
    <n v="2"/>
    <x v="0"/>
    <x v="437"/>
    <d v="2025-06-07T00:00:00"/>
    <x v="3"/>
    <x v="23"/>
    <n v="1340.39"/>
    <x v="2"/>
    <n v="0.8"/>
    <n v="1072.3120000000001"/>
    <n v="268.07799999999997"/>
    <n v="1"/>
    <n v="0"/>
    <x v="4"/>
  </r>
  <r>
    <s v="PAT-3678"/>
    <s v="Christopher Garcia"/>
    <n v="61"/>
    <x v="0"/>
    <x v="438"/>
    <d v="2025-09-02T00:00:00"/>
    <x v="2"/>
    <x v="33"/>
    <n v="2477.89"/>
    <x v="1"/>
    <n v="0.8"/>
    <n v="1982.3119999999999"/>
    <n v="495.57799999999986"/>
    <n v="2"/>
    <n v="0"/>
    <x v="0"/>
  </r>
  <r>
    <s v="PAT-3679"/>
    <s v="Elizabeth Hernandez"/>
    <n v="6"/>
    <x v="1"/>
    <x v="374"/>
    <d v="2025-11-22T00:00:00"/>
    <x v="3"/>
    <x v="25"/>
    <n v="1871.78"/>
    <x v="1"/>
    <n v="0.8"/>
    <n v="1497.424"/>
    <n v="374.35599999999994"/>
    <n v="2"/>
    <n v="0"/>
    <x v="4"/>
  </r>
  <r>
    <s v="PAT-3680"/>
    <s v="Elizabeth Ramirez"/>
    <n v="36"/>
    <x v="1"/>
    <x v="368"/>
    <d v="2024-07-24T00:00:00"/>
    <x v="1"/>
    <x v="31"/>
    <n v="3205.01"/>
    <x v="0"/>
    <n v="0.7"/>
    <n v="2243.5070000000001"/>
    <n v="961.50300000000016"/>
    <n v="2"/>
    <n v="3205.01"/>
    <x v="3"/>
  </r>
  <r>
    <s v="PAT-3681"/>
    <s v="Ashley Clark"/>
    <n v="52"/>
    <x v="1"/>
    <x v="439"/>
    <d v="2025-03-11T00:00:00"/>
    <x v="2"/>
    <x v="8"/>
    <n v="1148.98"/>
    <x v="2"/>
    <n v="0.5"/>
    <n v="574.49"/>
    <n v="574.49"/>
    <n v="1"/>
    <n v="0"/>
    <x v="0"/>
  </r>
  <r>
    <s v="PAT-3682"/>
    <s v="Nancy Thomas"/>
    <n v="6"/>
    <x v="1"/>
    <x v="20"/>
    <d v="2025-10-24T00:00:00"/>
    <x v="3"/>
    <x v="25"/>
    <n v="2502.7199999999998"/>
    <x v="0"/>
    <n v="0.8"/>
    <n v="2002.1759999999999"/>
    <n v="500.54399999999987"/>
    <n v="2"/>
    <n v="2502.7199999999998"/>
    <x v="4"/>
  </r>
  <r>
    <s v="PAT-3683"/>
    <s v="Joseph Davis"/>
    <n v="68"/>
    <x v="0"/>
    <x v="440"/>
    <d v="2025-01-05T00:00:00"/>
    <x v="4"/>
    <x v="18"/>
    <n v="23367.19"/>
    <x v="2"/>
    <n v="0.8"/>
    <n v="18693.752"/>
    <n v="4673.4379999999983"/>
    <n v="10"/>
    <n v="0"/>
    <x v="1"/>
  </r>
  <r>
    <s v="PAT-3684"/>
    <s v="Joseph White"/>
    <n v="54"/>
    <x v="0"/>
    <x v="441"/>
    <d v="2025-09-29T00:00:00"/>
    <x v="4"/>
    <x v="14"/>
    <n v="14220.87"/>
    <x v="0"/>
    <n v="0.8"/>
    <n v="11376.696000000002"/>
    <n v="2844.1739999999995"/>
    <n v="12"/>
    <n v="14220.87"/>
    <x v="0"/>
  </r>
  <r>
    <s v="PAT-3685"/>
    <s v="Daniel Jones"/>
    <n v="7"/>
    <x v="0"/>
    <x v="169"/>
    <d v="2025-03-25T00:00:00"/>
    <x v="3"/>
    <x v="23"/>
    <n v="2954.11"/>
    <x v="0"/>
    <n v="0.8"/>
    <n v="2363.288"/>
    <n v="590.82199999999989"/>
    <n v="3"/>
    <n v="2954.11"/>
    <x v="4"/>
  </r>
  <r>
    <s v="PAT-3686"/>
    <s v="Donna Lee"/>
    <n v="17"/>
    <x v="1"/>
    <x v="442"/>
    <d v="2025-11-24T00:00:00"/>
    <x v="3"/>
    <x v="25"/>
    <n v="609.66"/>
    <x v="2"/>
    <n v="0.9"/>
    <n v="548.69399999999996"/>
    <n v="60.96599999999998"/>
    <n v="1"/>
    <n v="0"/>
    <x v="4"/>
  </r>
  <r>
    <s v="PAT-3687"/>
    <s v="Anthony Thompson"/>
    <n v="59"/>
    <x v="0"/>
    <x v="10"/>
    <d v="2025-11-10T00:00:00"/>
    <x v="4"/>
    <x v="26"/>
    <n v="8093.46"/>
    <x v="0"/>
    <n v="0.8"/>
    <n v="6474.768"/>
    <n v="1618.6919999999996"/>
    <n v="4"/>
    <n v="8093.46"/>
    <x v="0"/>
  </r>
  <r>
    <s v="PAT-3688"/>
    <s v="Paul Jackson"/>
    <n v="81"/>
    <x v="0"/>
    <x v="261"/>
    <d v="2025-03-31T00:00:00"/>
    <x v="1"/>
    <x v="36"/>
    <n v="2072.19"/>
    <x v="2"/>
    <n v="0.6"/>
    <n v="1243.3140000000001"/>
    <n v="828.87600000000009"/>
    <n v="1"/>
    <n v="0"/>
    <x v="1"/>
  </r>
  <r>
    <s v="PAT-3689"/>
    <s v="Ashley Garcia"/>
    <n v="21"/>
    <x v="1"/>
    <x v="14"/>
    <d v="2025-12-14T00:00:00"/>
    <x v="1"/>
    <x v="15"/>
    <n v="1895.35"/>
    <x v="1"/>
    <n v="0.5"/>
    <n v="947.67499999999995"/>
    <n v="947.67499999999995"/>
    <n v="2"/>
    <n v="0"/>
    <x v="2"/>
  </r>
  <r>
    <s v="PAT-3690"/>
    <s v="Thomas Lee"/>
    <n v="32"/>
    <x v="0"/>
    <x v="206"/>
    <d v="2025-12-05T00:00:00"/>
    <x v="2"/>
    <x v="5"/>
    <n v="1195.19"/>
    <x v="0"/>
    <n v="1"/>
    <n v="1195.19"/>
    <n v="0"/>
    <n v="1"/>
    <n v="1195.19"/>
    <x v="2"/>
  </r>
  <r>
    <s v="PAT-3691"/>
    <s v="David Martinez"/>
    <n v="59"/>
    <x v="0"/>
    <x v="443"/>
    <d v="2025-10-26T00:00:00"/>
    <x v="1"/>
    <x v="7"/>
    <n v="6880.53"/>
    <x v="1"/>
    <n v="0.9"/>
    <n v="6192.4769999999999"/>
    <n v="688.05299999999977"/>
    <n v="3"/>
    <n v="0"/>
    <x v="0"/>
  </r>
  <r>
    <s v="PAT-3692"/>
    <s v="Mary Johnson"/>
    <n v="3"/>
    <x v="1"/>
    <x v="55"/>
    <d v="2025-05-10T00:00:00"/>
    <x v="3"/>
    <x v="9"/>
    <n v="8731.85"/>
    <x v="1"/>
    <n v="1"/>
    <n v="8731.85"/>
    <n v="0"/>
    <n v="5"/>
    <n v="0"/>
    <x v="4"/>
  </r>
  <r>
    <s v="PAT-3693"/>
    <s v="Betty Ramirez"/>
    <n v="71"/>
    <x v="1"/>
    <x v="444"/>
    <d v="2025-01-22T00:00:00"/>
    <x v="5"/>
    <x v="34"/>
    <n v="10575.02"/>
    <x v="1"/>
    <n v="0.7"/>
    <n v="7402.5140000000001"/>
    <n v="3172.5060000000008"/>
    <n v="6"/>
    <n v="0"/>
    <x v="1"/>
  </r>
  <r>
    <s v="PAT-3694"/>
    <s v="Carol Anderson"/>
    <n v="46"/>
    <x v="1"/>
    <x v="445"/>
    <d v="2024-12-22T00:00:00"/>
    <x v="2"/>
    <x v="16"/>
    <n v="1975.02"/>
    <x v="2"/>
    <n v="0.9"/>
    <n v="1777.518"/>
    <n v="197.50199999999995"/>
    <n v="3"/>
    <n v="0"/>
    <x v="3"/>
  </r>
  <r>
    <s v="PAT-3695"/>
    <s v="Kenneth Rodriguez"/>
    <n v="47"/>
    <x v="0"/>
    <x v="276"/>
    <d v="2024-04-24T00:00:00"/>
    <x v="4"/>
    <x v="27"/>
    <n v="14406.87"/>
    <x v="1"/>
    <n v="1"/>
    <n v="14406.87"/>
    <n v="0"/>
    <n v="8"/>
    <n v="0"/>
    <x v="3"/>
  </r>
  <r>
    <s v="PAT-3696"/>
    <s v="Karen Thomas"/>
    <n v="79"/>
    <x v="1"/>
    <x v="103"/>
    <d v="2025-09-17T00:00:00"/>
    <x v="0"/>
    <x v="29"/>
    <n v="10285.16"/>
    <x v="2"/>
    <n v="0.8"/>
    <n v="8228.1280000000006"/>
    <n v="2057.0319999999997"/>
    <n v="5"/>
    <n v="0"/>
    <x v="1"/>
  </r>
  <r>
    <s v="PAT-3697"/>
    <s v="Matthew Lewis"/>
    <n v="14"/>
    <x v="0"/>
    <x v="428"/>
    <d v="2024-04-07T00:00:00"/>
    <x v="3"/>
    <x v="9"/>
    <n v="730.74"/>
    <x v="2"/>
    <n v="0"/>
    <n v="0"/>
    <n v="730.74"/>
    <n v="1"/>
    <n v="0"/>
    <x v="4"/>
  </r>
  <r>
    <s v="PAT-3698"/>
    <s v="Anthony Taylor"/>
    <n v="30"/>
    <x v="0"/>
    <x v="270"/>
    <d v="2025-10-13T00:00:00"/>
    <x v="4"/>
    <x v="27"/>
    <n v="12841.02"/>
    <x v="0"/>
    <n v="0.7"/>
    <n v="8988.7139999999999"/>
    <n v="3852.3060000000005"/>
    <n v="6"/>
    <n v="12841.02"/>
    <x v="2"/>
  </r>
  <r>
    <s v="PAT-3699"/>
    <s v="Michael Young"/>
    <n v="71"/>
    <x v="0"/>
    <x v="446"/>
    <d v="2024-03-17T00:00:00"/>
    <x v="5"/>
    <x v="35"/>
    <n v="3969.91"/>
    <x v="0"/>
    <n v="0.9"/>
    <n v="3572.9189999999999"/>
    <n v="396.99099999999987"/>
    <n v="3"/>
    <n v="3969.91"/>
    <x v="1"/>
  </r>
  <r>
    <s v="PAT-3700"/>
    <s v="Joshua Brown"/>
    <n v="47"/>
    <x v="0"/>
    <x v="363"/>
    <d v="2025-09-13T00:00:00"/>
    <x v="2"/>
    <x v="4"/>
    <n v="3558.48"/>
    <x v="1"/>
    <n v="0.9"/>
    <n v="3202.6320000000001"/>
    <n v="355.8479999999999"/>
    <n v="3"/>
    <n v="0"/>
    <x v="3"/>
  </r>
  <r>
    <s v="PAT-3701"/>
    <s v="Richard Johnson"/>
    <n v="35"/>
    <x v="0"/>
    <x v="135"/>
    <d v="2024-12-23T00:00:00"/>
    <x v="1"/>
    <x v="3"/>
    <n v="2492.36"/>
    <x v="2"/>
    <n v="0.9"/>
    <n v="2243.1240000000003"/>
    <n v="249.23599999999996"/>
    <n v="2"/>
    <n v="0"/>
    <x v="2"/>
  </r>
  <r>
    <s v="PAT-3702"/>
    <s v="Richard Garcia"/>
    <n v="64"/>
    <x v="0"/>
    <x v="65"/>
    <d v="2025-04-08T00:00:00"/>
    <x v="2"/>
    <x v="33"/>
    <n v="2931.95"/>
    <x v="0"/>
    <n v="1"/>
    <n v="2931.95"/>
    <n v="0"/>
    <n v="3"/>
    <n v="2931.95"/>
    <x v="0"/>
  </r>
  <r>
    <s v="PAT-3703"/>
    <s v="Nancy Brown"/>
    <n v="39"/>
    <x v="1"/>
    <x v="224"/>
    <d v="2024-12-10T00:00:00"/>
    <x v="1"/>
    <x v="31"/>
    <n v="3264.79"/>
    <x v="0"/>
    <n v="0.7"/>
    <n v="2285.3529999999996"/>
    <n v="979.43700000000013"/>
    <n v="2"/>
    <n v="3264.79"/>
    <x v="3"/>
  </r>
  <r>
    <s v="PAT-3704"/>
    <s v="Thomas Wilson"/>
    <n v="65"/>
    <x v="0"/>
    <x v="242"/>
    <d v="2026-01-01T00:00:00"/>
    <x v="2"/>
    <x v="16"/>
    <n v="5976.06"/>
    <x v="1"/>
    <n v="0.7"/>
    <n v="4183.2420000000002"/>
    <n v="1792.8180000000004"/>
    <n v="4"/>
    <n v="0"/>
    <x v="0"/>
  </r>
  <r>
    <s v="PAT-3705"/>
    <s v="Donna Ramirez"/>
    <n v="85"/>
    <x v="1"/>
    <x v="447"/>
    <d v="2025-03-27T00:00:00"/>
    <x v="2"/>
    <x v="4"/>
    <n v="1133.0999999999999"/>
    <x v="1"/>
    <n v="0.7"/>
    <n v="793.16999999999985"/>
    <n v="339.93"/>
    <n v="1"/>
    <n v="0"/>
    <x v="1"/>
  </r>
  <r>
    <s v="PAT-3706"/>
    <s v="Anthony Moore"/>
    <n v="85"/>
    <x v="0"/>
    <x v="448"/>
    <d v="2025-08-30T00:00:00"/>
    <x v="1"/>
    <x v="31"/>
    <n v="4676.38"/>
    <x v="0"/>
    <n v="0.9"/>
    <n v="4208.7420000000002"/>
    <n v="467.63799999999992"/>
    <n v="2"/>
    <n v="4676.38"/>
    <x v="1"/>
  </r>
  <r>
    <s v="PAT-3707"/>
    <s v="Anthony Jackson"/>
    <n v="72"/>
    <x v="0"/>
    <x v="449"/>
    <d v="2025-01-09T00:00:00"/>
    <x v="1"/>
    <x v="31"/>
    <n v="2041.86"/>
    <x v="0"/>
    <n v="0.9"/>
    <n v="1837.674"/>
    <n v="204.18599999999995"/>
    <n v="2"/>
    <n v="2041.86"/>
    <x v="1"/>
  </r>
  <r>
    <s v="PAT-3708"/>
    <s v="Lisa Lee"/>
    <n v="40"/>
    <x v="1"/>
    <x v="368"/>
    <d v="2024-07-28T00:00:00"/>
    <x v="0"/>
    <x v="29"/>
    <n v="11703.16"/>
    <x v="0"/>
    <n v="0.9"/>
    <n v="10532.844000000001"/>
    <n v="1170.3159999999998"/>
    <n v="6"/>
    <n v="11703.16"/>
    <x v="3"/>
  </r>
  <r>
    <s v="PAT-3709"/>
    <s v="Donna Jones"/>
    <n v="6"/>
    <x v="1"/>
    <x v="60"/>
    <d v="2025-10-13T00:00:00"/>
    <x v="3"/>
    <x v="25"/>
    <n v="1336.01"/>
    <x v="1"/>
    <n v="0.8"/>
    <n v="1068.808"/>
    <n v="267.20199999999994"/>
    <n v="1"/>
    <n v="0"/>
    <x v="4"/>
  </r>
  <r>
    <s v="PAT-3710"/>
    <s v="Thomas Smith"/>
    <n v="81"/>
    <x v="0"/>
    <x v="392"/>
    <d v="2025-05-08T00:00:00"/>
    <x v="0"/>
    <x v="0"/>
    <n v="21413.919999999998"/>
    <x v="0"/>
    <n v="0.8"/>
    <n v="17131.135999999999"/>
    <n v="4282.7839999999987"/>
    <n v="8"/>
    <n v="21413.919999999998"/>
    <x v="1"/>
  </r>
  <r>
    <s v="PAT-3711"/>
    <s v="Nancy Davis"/>
    <n v="56"/>
    <x v="1"/>
    <x v="400"/>
    <d v="2024-12-30T00:00:00"/>
    <x v="1"/>
    <x v="32"/>
    <n v="4020.17"/>
    <x v="2"/>
    <n v="0.8"/>
    <n v="3216.1360000000004"/>
    <n v="804.03399999999988"/>
    <n v="2"/>
    <n v="0"/>
    <x v="0"/>
  </r>
  <r>
    <s v="PAT-3712"/>
    <s v="Karen Lee"/>
    <n v="66"/>
    <x v="1"/>
    <x v="126"/>
    <d v="2024-07-04T00:00:00"/>
    <x v="4"/>
    <x v="14"/>
    <n v="28053.05"/>
    <x v="0"/>
    <n v="0.8"/>
    <n v="22442.440000000002"/>
    <n v="5610.6099999999988"/>
    <n v="12"/>
    <n v="28053.05"/>
    <x v="1"/>
  </r>
  <r>
    <s v="PAT-3713"/>
    <s v="Michelle Harris"/>
    <n v="34"/>
    <x v="1"/>
    <x v="450"/>
    <d v="2024-10-04T00:00:00"/>
    <x v="5"/>
    <x v="35"/>
    <n v="23948.97"/>
    <x v="0"/>
    <n v="1"/>
    <n v="23948.97"/>
    <n v="0"/>
    <n v="11"/>
    <n v="23948.97"/>
    <x v="2"/>
  </r>
  <r>
    <s v="PAT-3714"/>
    <s v="David Young"/>
    <n v="84"/>
    <x v="0"/>
    <x v="402"/>
    <d v="2025-04-03T00:00:00"/>
    <x v="0"/>
    <x v="19"/>
    <n v="23623.51"/>
    <x v="1"/>
    <n v="0.9"/>
    <n v="21261.159"/>
    <n v="2362.3509999999992"/>
    <n v="9"/>
    <n v="0"/>
    <x v="1"/>
  </r>
  <r>
    <s v="PAT-3715"/>
    <s v="James Ramirez"/>
    <n v="34"/>
    <x v="0"/>
    <x v="410"/>
    <d v="2025-08-31T00:00:00"/>
    <x v="5"/>
    <x v="34"/>
    <n v="10445.299999999999"/>
    <x v="2"/>
    <n v="0.6"/>
    <n v="6267.1799999999994"/>
    <n v="4178.12"/>
    <n v="6"/>
    <n v="0"/>
    <x v="2"/>
  </r>
  <r>
    <s v="PAT-3716"/>
    <s v="Mark White"/>
    <n v="51"/>
    <x v="0"/>
    <x v="164"/>
    <d v="2025-08-29T00:00:00"/>
    <x v="4"/>
    <x v="13"/>
    <n v="19007.18"/>
    <x v="0"/>
    <n v="0.7"/>
    <n v="13305.026"/>
    <n v="5702.1540000000014"/>
    <n v="7"/>
    <n v="19007.18"/>
    <x v="0"/>
  </r>
  <r>
    <s v="PAT-3717"/>
    <s v="David Jones"/>
    <n v="43"/>
    <x v="0"/>
    <x v="451"/>
    <d v="2025-05-16T00:00:00"/>
    <x v="1"/>
    <x v="2"/>
    <n v="2458.7600000000002"/>
    <x v="0"/>
    <n v="0.9"/>
    <n v="2212.8840000000005"/>
    <n v="245.87599999999998"/>
    <n v="3"/>
    <n v="2458.7600000000002"/>
    <x v="3"/>
  </r>
  <r>
    <s v="PAT-3718"/>
    <s v="Brian Moore"/>
    <n v="32"/>
    <x v="0"/>
    <x v="162"/>
    <d v="2025-01-29T00:00:00"/>
    <x v="4"/>
    <x v="27"/>
    <n v="14632.49"/>
    <x v="2"/>
    <n v="0.6"/>
    <n v="8779.4939999999988"/>
    <n v="5852.9960000000001"/>
    <n v="8"/>
    <n v="0"/>
    <x v="2"/>
  </r>
  <r>
    <s v="PAT-3719"/>
    <s v="Susan Perez"/>
    <n v="34"/>
    <x v="1"/>
    <x v="452"/>
    <d v="2025-03-29T00:00:00"/>
    <x v="2"/>
    <x v="10"/>
    <n v="2891.81"/>
    <x v="0"/>
    <n v="0.8"/>
    <n v="2313.4479999999999"/>
    <n v="578.36199999999985"/>
    <n v="5"/>
    <n v="2891.81"/>
    <x v="2"/>
  </r>
  <r>
    <s v="PAT-3720"/>
    <s v="Linda Davis"/>
    <n v="54"/>
    <x v="1"/>
    <x v="453"/>
    <d v="2024-09-19T00:00:00"/>
    <x v="0"/>
    <x v="20"/>
    <n v="8029.13"/>
    <x v="1"/>
    <n v="0.8"/>
    <n v="6423.3040000000001"/>
    <n v="1605.8259999999996"/>
    <n v="3"/>
    <n v="0"/>
    <x v="0"/>
  </r>
  <r>
    <s v="PAT-3721"/>
    <s v="Matthew Wilson"/>
    <n v="45"/>
    <x v="0"/>
    <x v="259"/>
    <d v="2025-11-13T00:00:00"/>
    <x v="2"/>
    <x v="5"/>
    <n v="858.67"/>
    <x v="0"/>
    <n v="0.8"/>
    <n v="686.93600000000004"/>
    <n v="171.73399999999995"/>
    <n v="1"/>
    <n v="858.67"/>
    <x v="3"/>
  </r>
  <r>
    <s v="PAT-3722"/>
    <s v="Steven Perez"/>
    <n v="16"/>
    <x v="0"/>
    <x v="190"/>
    <d v="2025-11-19T00:00:00"/>
    <x v="3"/>
    <x v="37"/>
    <n v="3460.07"/>
    <x v="1"/>
    <n v="1"/>
    <n v="3460.07"/>
    <n v="0"/>
    <n v="2"/>
    <n v="0"/>
    <x v="4"/>
  </r>
  <r>
    <s v="PAT-3723"/>
    <s v="Brian Harris"/>
    <n v="48"/>
    <x v="0"/>
    <x v="454"/>
    <d v="2025-08-17T00:00:00"/>
    <x v="2"/>
    <x v="16"/>
    <n v="7776.12"/>
    <x v="1"/>
    <n v="0.6"/>
    <n v="4665.6719999999996"/>
    <n v="3110.4480000000003"/>
    <n v="7"/>
    <n v="0"/>
    <x v="3"/>
  </r>
  <r>
    <s v="PAT-3724"/>
    <s v="Brian Lewis"/>
    <n v="69"/>
    <x v="0"/>
    <x v="364"/>
    <d v="2024-04-30T00:00:00"/>
    <x v="1"/>
    <x v="3"/>
    <n v="4547.8500000000004"/>
    <x v="2"/>
    <n v="0.7"/>
    <n v="3183.4949999999999"/>
    <n v="1364.3550000000002"/>
    <n v="2"/>
    <n v="0"/>
    <x v="1"/>
  </r>
  <r>
    <s v="PAT-3725"/>
    <s v="Emily White"/>
    <n v="68"/>
    <x v="1"/>
    <x v="241"/>
    <d v="2024-04-18T00:00:00"/>
    <x v="0"/>
    <x v="6"/>
    <n v="11509.91"/>
    <x v="1"/>
    <n v="0"/>
    <n v="0"/>
    <n v="11509.91"/>
    <n v="5"/>
    <n v="0"/>
    <x v="1"/>
  </r>
  <r>
    <s v="PAT-3726"/>
    <s v="Michelle Thomas"/>
    <n v="22"/>
    <x v="1"/>
    <x v="407"/>
    <d v="2024-06-13T00:00:00"/>
    <x v="1"/>
    <x v="32"/>
    <n v="2402.42"/>
    <x v="0"/>
    <n v="1"/>
    <n v="2402.42"/>
    <n v="0"/>
    <n v="3"/>
    <n v="2402.42"/>
    <x v="2"/>
  </r>
  <r>
    <s v="PAT-3727"/>
    <s v="Robert Garcia"/>
    <n v="15"/>
    <x v="0"/>
    <x v="167"/>
    <d v="2024-03-05T00:00:00"/>
    <x v="3"/>
    <x v="9"/>
    <n v="4108.03"/>
    <x v="0"/>
    <n v="0.8"/>
    <n v="3286.424"/>
    <n v="821.60599999999977"/>
    <n v="4"/>
    <n v="4108.03"/>
    <x v="4"/>
  </r>
  <r>
    <s v="PAT-3728"/>
    <s v="Lisa Miller"/>
    <n v="48"/>
    <x v="1"/>
    <x v="455"/>
    <d v="2025-01-23T00:00:00"/>
    <x v="2"/>
    <x v="16"/>
    <n v="3552.94"/>
    <x v="1"/>
    <n v="0.8"/>
    <n v="2842.3520000000003"/>
    <n v="710.58799999999985"/>
    <n v="6"/>
    <n v="0"/>
    <x v="3"/>
  </r>
  <r>
    <s v="PAT-3729"/>
    <s v="Ashley Martinez"/>
    <n v="85"/>
    <x v="1"/>
    <x v="456"/>
    <d v="2024-08-20T00:00:00"/>
    <x v="1"/>
    <x v="7"/>
    <n v="2872.72"/>
    <x v="1"/>
    <n v="0.5"/>
    <n v="1436.36"/>
    <n v="1436.36"/>
    <n v="3"/>
    <n v="0"/>
    <x v="1"/>
  </r>
  <r>
    <s v="PAT-3730"/>
    <s v="James Perez"/>
    <n v="49"/>
    <x v="0"/>
    <x v="53"/>
    <d v="2024-11-20T00:00:00"/>
    <x v="4"/>
    <x v="11"/>
    <n v="8897.51"/>
    <x v="0"/>
    <n v="0.8"/>
    <n v="7118.0080000000007"/>
    <n v="1779.5019999999997"/>
    <n v="8"/>
    <n v="8897.51"/>
    <x v="3"/>
  </r>
  <r>
    <s v="PAT-3731"/>
    <s v="Carol Robinson"/>
    <n v="10"/>
    <x v="1"/>
    <x v="391"/>
    <d v="2024-04-28T00:00:00"/>
    <x v="3"/>
    <x v="24"/>
    <n v="3469.08"/>
    <x v="0"/>
    <n v="0.8"/>
    <n v="2775.2640000000001"/>
    <n v="693.8159999999998"/>
    <n v="3"/>
    <n v="3469.08"/>
    <x v="4"/>
  </r>
  <r>
    <s v="PAT-3732"/>
    <s v="Andrew Clark"/>
    <n v="47"/>
    <x v="0"/>
    <x v="161"/>
    <d v="2024-01-15T00:00:00"/>
    <x v="0"/>
    <x v="1"/>
    <n v="8778.52"/>
    <x v="1"/>
    <n v="0.8"/>
    <n v="7022.8160000000007"/>
    <n v="1755.7039999999997"/>
    <n v="6"/>
    <n v="0"/>
    <x v="3"/>
  </r>
  <r>
    <s v="PAT-3733"/>
    <s v="Mark Brown"/>
    <n v="66"/>
    <x v="0"/>
    <x v="457"/>
    <d v="2024-06-20T00:00:00"/>
    <x v="4"/>
    <x v="26"/>
    <n v="38501.9"/>
    <x v="0"/>
    <n v="0.8"/>
    <n v="30801.520000000004"/>
    <n v="7700.3799999999983"/>
    <n v="14"/>
    <n v="38501.9"/>
    <x v="1"/>
  </r>
  <r>
    <s v="PAT-3734"/>
    <s v="Andrew Martinez"/>
    <n v="43"/>
    <x v="0"/>
    <x v="458"/>
    <d v="2025-12-27T00:00:00"/>
    <x v="2"/>
    <x v="33"/>
    <n v="1693.89"/>
    <x v="0"/>
    <n v="0.8"/>
    <n v="1355.1120000000001"/>
    <n v="338.77799999999996"/>
    <n v="2"/>
    <n v="1693.89"/>
    <x v="3"/>
  </r>
  <r>
    <s v="PAT-3735"/>
    <s v="William Walker"/>
    <n v="29"/>
    <x v="0"/>
    <x v="459"/>
    <d v="2024-05-29T00:00:00"/>
    <x v="1"/>
    <x v="15"/>
    <n v="1250.03"/>
    <x v="0"/>
    <n v="0.8"/>
    <n v="1000.024"/>
    <n v="250.00599999999994"/>
    <n v="1"/>
    <n v="1250.03"/>
    <x v="2"/>
  </r>
  <r>
    <s v="PAT-3736"/>
    <s v="Dorothy Ramirez"/>
    <n v="76"/>
    <x v="1"/>
    <x v="460"/>
    <d v="2024-10-13T00:00:00"/>
    <x v="1"/>
    <x v="32"/>
    <n v="2286.5500000000002"/>
    <x v="2"/>
    <n v="0.9"/>
    <n v="2057.8950000000004"/>
    <n v="228.65499999999997"/>
    <n v="1"/>
    <n v="0"/>
    <x v="1"/>
  </r>
  <r>
    <s v="PAT-3737"/>
    <s v="Christopher White"/>
    <n v="70"/>
    <x v="0"/>
    <x v="349"/>
    <d v="2024-08-01T00:00:00"/>
    <x v="1"/>
    <x v="32"/>
    <n v="1516.2"/>
    <x v="0"/>
    <n v="0.8"/>
    <n v="1212.96"/>
    <n v="303.23999999999995"/>
    <n v="1"/>
    <n v="1516.2"/>
    <x v="1"/>
  </r>
  <r>
    <s v="PAT-3738"/>
    <s v="Sarah Garcia"/>
    <n v="79"/>
    <x v="1"/>
    <x v="76"/>
    <d v="2025-01-12T00:00:00"/>
    <x v="0"/>
    <x v="0"/>
    <n v="24161.06"/>
    <x v="0"/>
    <n v="1"/>
    <n v="24161.06"/>
    <n v="0"/>
    <n v="10"/>
    <n v="24161.06"/>
    <x v="1"/>
  </r>
  <r>
    <s v="PAT-3739"/>
    <s v="Ashley Thompson"/>
    <n v="76"/>
    <x v="1"/>
    <x v="204"/>
    <d v="2024-12-27T00:00:00"/>
    <x v="1"/>
    <x v="7"/>
    <n v="5162.18"/>
    <x v="2"/>
    <n v="0.9"/>
    <n v="4645.9620000000004"/>
    <n v="516.21799999999996"/>
    <n v="3"/>
    <n v="0"/>
    <x v="1"/>
  </r>
  <r>
    <s v="PAT-3740"/>
    <s v="Thomas Young"/>
    <n v="27"/>
    <x v="0"/>
    <x v="389"/>
    <d v="2025-03-21T00:00:00"/>
    <x v="4"/>
    <x v="26"/>
    <n v="22371.56"/>
    <x v="0"/>
    <n v="0.8"/>
    <n v="17897.248000000003"/>
    <n v="4474.311999999999"/>
    <n v="13"/>
    <n v="22371.56"/>
    <x v="2"/>
  </r>
  <r>
    <s v="PAT-3741"/>
    <s v="Elizabeth Jackson"/>
    <n v="82"/>
    <x v="1"/>
    <x v="283"/>
    <d v="2024-10-28T00:00:00"/>
    <x v="1"/>
    <x v="15"/>
    <n v="1865.06"/>
    <x v="0"/>
    <n v="0.8"/>
    <n v="1492.048"/>
    <n v="373.01199999999989"/>
    <n v="1"/>
    <n v="1865.06"/>
    <x v="1"/>
  </r>
  <r>
    <s v="PAT-3742"/>
    <s v="Joseph Martinez"/>
    <n v="71"/>
    <x v="0"/>
    <x v="450"/>
    <d v="2024-09-26T00:00:00"/>
    <x v="0"/>
    <x v="29"/>
    <n v="7640.58"/>
    <x v="2"/>
    <n v="0.8"/>
    <n v="6112.4639999999999"/>
    <n v="1528.1159999999998"/>
    <n v="3"/>
    <n v="0"/>
    <x v="1"/>
  </r>
  <r>
    <s v="PAT-3743"/>
    <s v="Karen Williams"/>
    <n v="69"/>
    <x v="1"/>
    <x v="461"/>
    <d v="2025-02-02T00:00:00"/>
    <x v="2"/>
    <x v="5"/>
    <n v="2892.4"/>
    <x v="0"/>
    <n v="0.5"/>
    <n v="1446.2"/>
    <n v="1446.2"/>
    <n v="2"/>
    <n v="2892.4"/>
    <x v="1"/>
  </r>
  <r>
    <s v="PAT-3744"/>
    <s v="Richard Rodriguez"/>
    <n v="32"/>
    <x v="0"/>
    <x v="204"/>
    <d v="2024-12-31T00:00:00"/>
    <x v="5"/>
    <x v="12"/>
    <n v="9495.5300000000007"/>
    <x v="1"/>
    <n v="1"/>
    <n v="9495.5300000000007"/>
    <n v="0"/>
    <n v="7"/>
    <n v="0"/>
    <x v="2"/>
  </r>
  <r>
    <s v="PAT-3745"/>
    <s v="Ashley Rodriguez"/>
    <n v="29"/>
    <x v="1"/>
    <x v="238"/>
    <d v="2024-09-25T00:00:00"/>
    <x v="1"/>
    <x v="3"/>
    <n v="870.1"/>
    <x v="0"/>
    <n v="0.8"/>
    <n v="696.08"/>
    <n v="174.01999999999995"/>
    <n v="1"/>
    <n v="870.1"/>
    <x v="2"/>
  </r>
  <r>
    <s v="PAT-3746"/>
    <s v="Sarah Davis"/>
    <n v="76"/>
    <x v="1"/>
    <x v="462"/>
    <d v="2024-01-16T00:00:00"/>
    <x v="2"/>
    <x v="4"/>
    <n v="1437.06"/>
    <x v="1"/>
    <n v="0.7"/>
    <n v="1005.9419999999999"/>
    <n v="431.11800000000005"/>
    <n v="1"/>
    <n v="0"/>
    <x v="1"/>
  </r>
  <r>
    <s v="PAT-3747"/>
    <s v="Sarah Perez"/>
    <n v="53"/>
    <x v="1"/>
    <x v="249"/>
    <d v="2024-08-20T00:00:00"/>
    <x v="2"/>
    <x v="10"/>
    <n v="2735.83"/>
    <x v="1"/>
    <n v="0.9"/>
    <n v="2462.2469999999998"/>
    <n v="273.58299999999991"/>
    <n v="5"/>
    <n v="0"/>
    <x v="0"/>
  </r>
  <r>
    <s v="PAT-3748"/>
    <s v="Kenneth Wilson"/>
    <n v="27"/>
    <x v="0"/>
    <x v="463"/>
    <d v="2024-12-03T00:00:00"/>
    <x v="1"/>
    <x v="2"/>
    <n v="1879.03"/>
    <x v="0"/>
    <n v="1"/>
    <n v="1879.03"/>
    <n v="0"/>
    <n v="1"/>
    <n v="1879.03"/>
    <x v="2"/>
  </r>
  <r>
    <s v="PAT-3749"/>
    <s v="Ashley Martinez"/>
    <n v="11"/>
    <x v="1"/>
    <x v="333"/>
    <d v="2024-07-13T00:00:00"/>
    <x v="3"/>
    <x v="25"/>
    <n v="4685.1499999999996"/>
    <x v="2"/>
    <n v="0.7"/>
    <n v="3279.6049999999996"/>
    <n v="1405.5450000000001"/>
    <n v="4"/>
    <n v="0"/>
    <x v="4"/>
  </r>
  <r>
    <s v="PAT-3750"/>
    <s v="Richard Rodriguez"/>
    <n v="30"/>
    <x v="0"/>
    <x v="464"/>
    <d v="2025-11-28T00:00:00"/>
    <x v="1"/>
    <x v="7"/>
    <n v="4638.3500000000004"/>
    <x v="2"/>
    <n v="0.9"/>
    <n v="4174.5150000000003"/>
    <n v="463.83499999999992"/>
    <n v="2"/>
    <n v="0"/>
    <x v="2"/>
  </r>
  <r>
    <s v="PAT-3751"/>
    <s v="Betty Thompson"/>
    <n v="35"/>
    <x v="1"/>
    <x v="277"/>
    <d v="2024-06-14T00:00:00"/>
    <x v="1"/>
    <x v="36"/>
    <n v="6181.48"/>
    <x v="0"/>
    <n v="0.9"/>
    <n v="5563.3319999999994"/>
    <n v="618.1479999999998"/>
    <n v="3"/>
    <n v="6181.48"/>
    <x v="2"/>
  </r>
  <r>
    <s v="PAT-3752"/>
    <s v="Donna Clark"/>
    <n v="66"/>
    <x v="1"/>
    <x v="279"/>
    <d v="2025-12-08T00:00:00"/>
    <x v="5"/>
    <x v="34"/>
    <n v="10893.55"/>
    <x v="0"/>
    <n v="0.8"/>
    <n v="8714.84"/>
    <n v="2178.7099999999996"/>
    <n v="6"/>
    <n v="10893.55"/>
    <x v="1"/>
  </r>
  <r>
    <s v="PAT-3753"/>
    <s v="Joshua Miller"/>
    <n v="70"/>
    <x v="0"/>
    <x v="127"/>
    <d v="2024-07-12T00:00:00"/>
    <x v="2"/>
    <x v="8"/>
    <n v="5559.19"/>
    <x v="0"/>
    <n v="1"/>
    <n v="5559.19"/>
    <n v="0"/>
    <n v="4"/>
    <n v="5559.19"/>
    <x v="1"/>
  </r>
  <r>
    <s v="PAT-3754"/>
    <s v="Jennifer Lewis"/>
    <n v="82"/>
    <x v="1"/>
    <x v="465"/>
    <d v="2025-08-04T00:00:00"/>
    <x v="0"/>
    <x v="29"/>
    <n v="12777.22"/>
    <x v="0"/>
    <n v="0.9"/>
    <n v="11499.498"/>
    <n v="1277.7219999999998"/>
    <n v="6"/>
    <n v="12777.22"/>
    <x v="1"/>
  </r>
  <r>
    <s v="PAT-3755"/>
    <s v="Karen Rodriguez"/>
    <n v="28"/>
    <x v="1"/>
    <x v="170"/>
    <d v="2024-03-12T00:00:00"/>
    <x v="1"/>
    <x v="7"/>
    <n v="824.72"/>
    <x v="0"/>
    <n v="0.8"/>
    <n v="659.77600000000007"/>
    <n v="164.94399999999996"/>
    <n v="1"/>
    <n v="824.72"/>
    <x v="2"/>
  </r>
  <r>
    <s v="PAT-3756"/>
    <s v="Kenneth Davis"/>
    <n v="77"/>
    <x v="0"/>
    <x v="244"/>
    <d v="2025-04-01T00:00:00"/>
    <x v="5"/>
    <x v="30"/>
    <n v="7892.83"/>
    <x v="0"/>
    <n v="0.9"/>
    <n v="7103.5470000000005"/>
    <n v="789.28299999999979"/>
    <n v="4"/>
    <n v="7892.83"/>
    <x v="1"/>
  </r>
  <r>
    <s v="PAT-3757"/>
    <s v="Sarah Martinez"/>
    <n v="34"/>
    <x v="1"/>
    <x v="422"/>
    <d v="2024-09-04T00:00:00"/>
    <x v="1"/>
    <x v="15"/>
    <n v="4965.79"/>
    <x v="0"/>
    <n v="0.8"/>
    <n v="3972.6320000000001"/>
    <n v="993.15799999999979"/>
    <n v="2"/>
    <n v="4965.79"/>
    <x v="2"/>
  </r>
  <r>
    <s v="PAT-3758"/>
    <s v="Jennifer Taylor"/>
    <n v="8"/>
    <x v="1"/>
    <x v="23"/>
    <d v="2024-03-21T00:00:00"/>
    <x v="3"/>
    <x v="24"/>
    <n v="1380.95"/>
    <x v="0"/>
    <n v="0.7"/>
    <n v="966.66499999999996"/>
    <n v="414.28500000000008"/>
    <n v="2"/>
    <n v="1380.95"/>
    <x v="4"/>
  </r>
  <r>
    <s v="PAT-3759"/>
    <s v="Joshua Hernandez"/>
    <n v="41"/>
    <x v="0"/>
    <x v="258"/>
    <d v="2024-07-12T00:00:00"/>
    <x v="2"/>
    <x v="10"/>
    <n v="783.53"/>
    <x v="0"/>
    <n v="0.5"/>
    <n v="391.76499999999999"/>
    <n v="391.76499999999999"/>
    <n v="1"/>
    <n v="783.53"/>
    <x v="3"/>
  </r>
  <r>
    <s v="PAT-3760"/>
    <s v="Andrew Moore"/>
    <n v="50"/>
    <x v="0"/>
    <x v="197"/>
    <d v="2025-02-15T00:00:00"/>
    <x v="2"/>
    <x v="5"/>
    <n v="644.33000000000004"/>
    <x v="2"/>
    <n v="0.5"/>
    <n v="322.16500000000002"/>
    <n v="322.16500000000002"/>
    <n v="1"/>
    <n v="0"/>
    <x v="3"/>
  </r>
  <r>
    <s v="PAT-3761"/>
    <s v="Christopher Lee"/>
    <n v="64"/>
    <x v="0"/>
    <x v="62"/>
    <d v="2025-11-26T00:00:00"/>
    <x v="1"/>
    <x v="2"/>
    <n v="803.78"/>
    <x v="0"/>
    <n v="0.9"/>
    <n v="723.40200000000004"/>
    <n v="80.377999999999986"/>
    <n v="1"/>
    <n v="803.78"/>
    <x v="0"/>
  </r>
  <r>
    <s v="PAT-3762"/>
    <s v="Andrew Robinson"/>
    <n v="32"/>
    <x v="0"/>
    <x v="108"/>
    <d v="2025-09-16T00:00:00"/>
    <x v="2"/>
    <x v="16"/>
    <n v="7286.69"/>
    <x v="0"/>
    <n v="0.8"/>
    <n v="5829.3519999999999"/>
    <n v="1457.3379999999995"/>
    <n v="7"/>
    <n v="7286.69"/>
    <x v="2"/>
  </r>
  <r>
    <s v="PAT-3763"/>
    <s v="Jessica Lee"/>
    <n v="47"/>
    <x v="1"/>
    <x v="466"/>
    <d v="2024-11-04T00:00:00"/>
    <x v="1"/>
    <x v="36"/>
    <n v="6520.03"/>
    <x v="0"/>
    <n v="0.8"/>
    <n v="5216.0240000000003"/>
    <n v="1304.0059999999996"/>
    <n v="3"/>
    <n v="6520.03"/>
    <x v="3"/>
  </r>
  <r>
    <s v="PAT-3764"/>
    <s v="Nancy Clark"/>
    <n v="46"/>
    <x v="1"/>
    <x v="467"/>
    <d v="2025-12-02T00:00:00"/>
    <x v="2"/>
    <x v="5"/>
    <n v="1101.07"/>
    <x v="1"/>
    <n v="0.7"/>
    <n v="770.74899999999991"/>
    <n v="330.32100000000003"/>
    <n v="1"/>
    <n v="0"/>
    <x v="3"/>
  </r>
  <r>
    <s v="PAT-3765"/>
    <s v="Karen Ramirez"/>
    <n v="48"/>
    <x v="1"/>
    <x v="134"/>
    <d v="2025-09-14T00:00:00"/>
    <x v="0"/>
    <x v="1"/>
    <n v="15930.98"/>
    <x v="0"/>
    <n v="0.8"/>
    <n v="12744.784"/>
    <n v="3186.195999999999"/>
    <n v="10"/>
    <n v="15930.98"/>
    <x v="3"/>
  </r>
  <r>
    <s v="PAT-3766"/>
    <s v="James Johnson"/>
    <n v="47"/>
    <x v="0"/>
    <x v="468"/>
    <d v="2024-09-29T00:00:00"/>
    <x v="2"/>
    <x v="21"/>
    <n v="6394.95"/>
    <x v="2"/>
    <n v="1"/>
    <n v="6394.95"/>
    <n v="0"/>
    <n v="7"/>
    <n v="0"/>
    <x v="3"/>
  </r>
  <r>
    <s v="PAT-3767"/>
    <s v="David Wilson"/>
    <n v="18"/>
    <x v="0"/>
    <x v="299"/>
    <d v="2024-01-03T00:00:00"/>
    <x v="2"/>
    <x v="8"/>
    <n v="2803.03"/>
    <x v="0"/>
    <n v="0.9"/>
    <n v="2522.7270000000003"/>
    <n v="280.30299999999994"/>
    <n v="2"/>
    <n v="2803.03"/>
    <x v="2"/>
  </r>
  <r>
    <s v="PAT-3768"/>
    <s v="James Walker"/>
    <n v="41"/>
    <x v="0"/>
    <x v="469"/>
    <d v="2024-01-28T00:00:00"/>
    <x v="5"/>
    <x v="12"/>
    <n v="4689.5200000000004"/>
    <x v="0"/>
    <n v="0.8"/>
    <n v="3751.6160000000004"/>
    <n v="937.90399999999988"/>
    <n v="3"/>
    <n v="4689.5200000000004"/>
    <x v="3"/>
  </r>
  <r>
    <s v="PAT-3769"/>
    <s v="Donna Thompson"/>
    <n v="67"/>
    <x v="1"/>
    <x v="144"/>
    <d v="2024-08-20T00:00:00"/>
    <x v="5"/>
    <x v="35"/>
    <n v="13724.66"/>
    <x v="0"/>
    <n v="0.8"/>
    <n v="10979.728000000001"/>
    <n v="2744.9319999999993"/>
    <n v="10"/>
    <n v="13724.66"/>
    <x v="1"/>
  </r>
  <r>
    <s v="PAT-3770"/>
    <s v="Matthew Brown"/>
    <n v="74"/>
    <x v="0"/>
    <x v="470"/>
    <d v="2025-02-24T00:00:00"/>
    <x v="0"/>
    <x v="6"/>
    <n v="9130.48"/>
    <x v="2"/>
    <n v="0.6"/>
    <n v="5478.2879999999996"/>
    <n v="3652.192"/>
    <n v="4"/>
    <n v="0"/>
    <x v="1"/>
  </r>
  <r>
    <s v="PAT-3771"/>
    <s v="Ashley Jones"/>
    <n v="32"/>
    <x v="1"/>
    <x v="98"/>
    <d v="2024-04-21T00:00:00"/>
    <x v="1"/>
    <x v="36"/>
    <n v="2383.8000000000002"/>
    <x v="0"/>
    <n v="0.7"/>
    <n v="1668.66"/>
    <n v="715.14000000000021"/>
    <n v="1"/>
    <n v="2383.8000000000002"/>
    <x v="2"/>
  </r>
  <r>
    <s v="PAT-3772"/>
    <s v="Betty Rodriguez"/>
    <n v="51"/>
    <x v="1"/>
    <x v="313"/>
    <d v="2024-01-09T00:00:00"/>
    <x v="2"/>
    <x v="21"/>
    <n v="1901.75"/>
    <x v="1"/>
    <n v="0.7"/>
    <n v="1331.2249999999999"/>
    <n v="570.52500000000009"/>
    <n v="3"/>
    <n v="0"/>
    <x v="0"/>
  </r>
  <r>
    <s v="PAT-3773"/>
    <s v="Matthew Jones"/>
    <n v="55"/>
    <x v="0"/>
    <x v="332"/>
    <d v="2025-06-27T00:00:00"/>
    <x v="1"/>
    <x v="3"/>
    <n v="5558.16"/>
    <x v="0"/>
    <n v="0.6"/>
    <n v="3334.8959999999997"/>
    <n v="2223.2640000000001"/>
    <n v="3"/>
    <n v="5558.16"/>
    <x v="0"/>
  </r>
  <r>
    <s v="PAT-3774"/>
    <s v="Robert Hernandez"/>
    <n v="34"/>
    <x v="0"/>
    <x v="176"/>
    <d v="2025-06-04T00:00:00"/>
    <x v="2"/>
    <x v="16"/>
    <n v="4500.7"/>
    <x v="0"/>
    <n v="0.9"/>
    <n v="4050.63"/>
    <n v="450.06999999999988"/>
    <n v="7"/>
    <n v="4500.7"/>
    <x v="2"/>
  </r>
  <r>
    <s v="PAT-3775"/>
    <s v="Paul Rodriguez"/>
    <n v="81"/>
    <x v="0"/>
    <x v="21"/>
    <d v="2025-02-16T00:00:00"/>
    <x v="0"/>
    <x v="6"/>
    <n v="9036.9"/>
    <x v="1"/>
    <n v="0.5"/>
    <n v="4518.45"/>
    <n v="4518.45"/>
    <n v="5"/>
    <n v="0"/>
    <x v="1"/>
  </r>
  <r>
    <s v="PAT-3776"/>
    <s v="Michael Wilson"/>
    <n v="83"/>
    <x v="0"/>
    <x v="380"/>
    <d v="2025-06-24T00:00:00"/>
    <x v="2"/>
    <x v="33"/>
    <n v="4404.2299999999996"/>
    <x v="2"/>
    <n v="0.5"/>
    <n v="2202.1149999999998"/>
    <n v="2202.1149999999998"/>
    <n v="5"/>
    <n v="0"/>
    <x v="1"/>
  </r>
  <r>
    <s v="PAT-3777"/>
    <s v="Anthony Miller"/>
    <n v="51"/>
    <x v="0"/>
    <x v="126"/>
    <d v="2024-06-27T00:00:00"/>
    <x v="2"/>
    <x v="21"/>
    <n v="4907.47"/>
    <x v="0"/>
    <n v="0.8"/>
    <n v="3925.9760000000006"/>
    <n v="981.4939999999998"/>
    <n v="5"/>
    <n v="4907.47"/>
    <x v="0"/>
  </r>
  <r>
    <s v="PAT-3778"/>
    <s v="Brian Davis"/>
    <n v="71"/>
    <x v="0"/>
    <x v="63"/>
    <d v="2025-03-25T00:00:00"/>
    <x v="0"/>
    <x v="0"/>
    <n v="26768.21"/>
    <x v="2"/>
    <n v="1"/>
    <n v="26768.21"/>
    <n v="0"/>
    <n v="10"/>
    <n v="0"/>
    <x v="1"/>
  </r>
  <r>
    <s v="PAT-3779"/>
    <s v="Kimberly Thompson"/>
    <n v="85"/>
    <x v="1"/>
    <x v="36"/>
    <d v="2025-06-07T00:00:00"/>
    <x v="2"/>
    <x v="8"/>
    <n v="2615.96"/>
    <x v="0"/>
    <n v="1"/>
    <n v="2615.96"/>
    <n v="0"/>
    <n v="4"/>
    <n v="2615.96"/>
    <x v="1"/>
  </r>
  <r>
    <s v="PAT-3780"/>
    <s v="Mark Harris"/>
    <n v="74"/>
    <x v="0"/>
    <x v="425"/>
    <d v="2025-12-23T00:00:00"/>
    <x v="2"/>
    <x v="33"/>
    <n v="7371.54"/>
    <x v="2"/>
    <n v="0.7"/>
    <n v="5160.0779999999995"/>
    <n v="2211.4620000000004"/>
    <n v="6"/>
    <n v="0"/>
    <x v="1"/>
  </r>
  <r>
    <s v="PAT-3781"/>
    <s v="Elizabeth Lopez"/>
    <n v="74"/>
    <x v="1"/>
    <x v="360"/>
    <d v="2025-01-01T00:00:00"/>
    <x v="1"/>
    <x v="31"/>
    <n v="1984.12"/>
    <x v="1"/>
    <n v="0.7"/>
    <n v="1388.8839999999998"/>
    <n v="595.2360000000001"/>
    <n v="1"/>
    <n v="0"/>
    <x v="1"/>
  </r>
  <r>
    <s v="PAT-3782"/>
    <s v="Sarah Ramirez"/>
    <n v="42"/>
    <x v="1"/>
    <x v="309"/>
    <d v="2025-04-14T00:00:00"/>
    <x v="5"/>
    <x v="17"/>
    <n v="15265.35"/>
    <x v="0"/>
    <n v="1"/>
    <n v="15265.35"/>
    <n v="0"/>
    <n v="6"/>
    <n v="15265.35"/>
    <x v="3"/>
  </r>
  <r>
    <s v="PAT-3783"/>
    <s v="Christopher Martin"/>
    <n v="43"/>
    <x v="0"/>
    <x v="192"/>
    <d v="2024-10-20T00:00:00"/>
    <x v="5"/>
    <x v="35"/>
    <n v="24895.77"/>
    <x v="0"/>
    <n v="0.8"/>
    <n v="19916.616000000002"/>
    <n v="4979.1539999999986"/>
    <n v="11"/>
    <n v="24895.77"/>
    <x v="3"/>
  </r>
  <r>
    <s v="PAT-3784"/>
    <s v="Betty Davis"/>
    <n v="43"/>
    <x v="1"/>
    <x v="253"/>
    <d v="2025-03-31T00:00:00"/>
    <x v="2"/>
    <x v="5"/>
    <n v="2392.67"/>
    <x v="2"/>
    <n v="0.6"/>
    <n v="1435.6020000000001"/>
    <n v="957.0680000000001"/>
    <n v="4"/>
    <n v="0"/>
    <x v="3"/>
  </r>
  <r>
    <s v="PAT-3785"/>
    <s v="Sarah Jackson"/>
    <n v="23"/>
    <x v="1"/>
    <x v="224"/>
    <d v="2024-12-09T00:00:00"/>
    <x v="2"/>
    <x v="21"/>
    <n v="1000.43"/>
    <x v="0"/>
    <n v="0.9"/>
    <n v="900.38699999999994"/>
    <n v="100.04299999999998"/>
    <n v="1"/>
    <n v="1000.43"/>
    <x v="2"/>
  </r>
  <r>
    <s v="PAT-3786"/>
    <s v="David Rodriguez"/>
    <n v="58"/>
    <x v="0"/>
    <x v="471"/>
    <d v="2025-02-25T00:00:00"/>
    <x v="5"/>
    <x v="34"/>
    <n v="10299"/>
    <x v="0"/>
    <n v="0.9"/>
    <n v="9269.1"/>
    <n v="1029.8999999999999"/>
    <n v="4"/>
    <n v="10299"/>
    <x v="0"/>
  </r>
  <r>
    <s v="PAT-3787"/>
    <s v="Kimberly Smith"/>
    <n v="58"/>
    <x v="1"/>
    <x v="192"/>
    <d v="2024-10-19T00:00:00"/>
    <x v="5"/>
    <x v="28"/>
    <n v="25129.38"/>
    <x v="0"/>
    <n v="0.9"/>
    <n v="22616.442000000003"/>
    <n v="2512.9379999999996"/>
    <n v="10"/>
    <n v="25129.38"/>
    <x v="0"/>
  </r>
  <r>
    <s v="PAT-3788"/>
    <s v="Joshua Jones"/>
    <n v="9"/>
    <x v="0"/>
    <x v="430"/>
    <d v="2024-05-11T00:00:00"/>
    <x v="3"/>
    <x v="22"/>
    <n v="6735.15"/>
    <x v="2"/>
    <n v="1"/>
    <n v="6735.15"/>
    <n v="0"/>
    <n v="5"/>
    <n v="0"/>
    <x v="4"/>
  </r>
  <r>
    <s v="PAT-3789"/>
    <s v="Carol Lewis"/>
    <n v="62"/>
    <x v="1"/>
    <x v="81"/>
    <d v="2024-09-05T00:00:00"/>
    <x v="0"/>
    <x v="20"/>
    <n v="20130.14"/>
    <x v="0"/>
    <n v="0.7"/>
    <n v="14091.097999999998"/>
    <n v="6039.0420000000004"/>
    <n v="10"/>
    <n v="20130.14"/>
    <x v="0"/>
  </r>
  <r>
    <s v="PAT-3790"/>
    <s v="Kenneth Robinson"/>
    <n v="3"/>
    <x v="0"/>
    <x v="472"/>
    <d v="2024-02-28T00:00:00"/>
    <x v="3"/>
    <x v="37"/>
    <n v="1138.69"/>
    <x v="0"/>
    <n v="0.8"/>
    <n v="910.95200000000011"/>
    <n v="227.73799999999997"/>
    <n v="1"/>
    <n v="1138.69"/>
    <x v="4"/>
  </r>
  <r>
    <s v="PAT-3791"/>
    <s v="Matthew Martin"/>
    <n v="75"/>
    <x v="0"/>
    <x v="221"/>
    <d v="2025-10-02T00:00:00"/>
    <x v="4"/>
    <x v="18"/>
    <n v="17304.05"/>
    <x v="0"/>
    <n v="0.8"/>
    <n v="13843.24"/>
    <n v="3460.809999999999"/>
    <n v="13"/>
    <n v="17304.05"/>
    <x v="1"/>
  </r>
  <r>
    <s v="PAT-3792"/>
    <s v="Emily Garcia"/>
    <n v="66"/>
    <x v="1"/>
    <x v="362"/>
    <d v="2025-01-13T00:00:00"/>
    <x v="2"/>
    <x v="33"/>
    <n v="2563.36"/>
    <x v="0"/>
    <n v="0.7"/>
    <n v="1794.3519999999999"/>
    <n v="769.00800000000015"/>
    <n v="4"/>
    <n v="2563.36"/>
    <x v="1"/>
  </r>
  <r>
    <s v="PAT-3793"/>
    <s v="Carol Ramirez"/>
    <n v="73"/>
    <x v="1"/>
    <x v="473"/>
    <d v="2025-08-23T00:00:00"/>
    <x v="2"/>
    <x v="4"/>
    <n v="5938.64"/>
    <x v="0"/>
    <n v="0.8"/>
    <n v="4750.9120000000003"/>
    <n v="1187.7279999999998"/>
    <n v="6"/>
    <n v="5938.64"/>
    <x v="1"/>
  </r>
  <r>
    <s v="PAT-3794"/>
    <s v="Robert Lee"/>
    <n v="58"/>
    <x v="0"/>
    <x v="239"/>
    <d v="2025-04-19T00:00:00"/>
    <x v="4"/>
    <x v="13"/>
    <n v="6946.39"/>
    <x v="0"/>
    <n v="0.9"/>
    <n v="6251.7510000000002"/>
    <n v="694.6389999999999"/>
    <n v="3"/>
    <n v="6946.39"/>
    <x v="0"/>
  </r>
  <r>
    <s v="PAT-3795"/>
    <s v="Dorothy Thomas"/>
    <n v="32"/>
    <x v="1"/>
    <x v="414"/>
    <d v="2025-06-15T00:00:00"/>
    <x v="5"/>
    <x v="30"/>
    <n v="15560.38"/>
    <x v="0"/>
    <n v="0.8"/>
    <n v="12448.304"/>
    <n v="3112.0759999999991"/>
    <n v="11"/>
    <n v="15560.38"/>
    <x v="2"/>
  </r>
  <r>
    <s v="PAT-3796"/>
    <s v="Joshua Thomas"/>
    <n v="14"/>
    <x v="0"/>
    <x v="261"/>
    <d v="2025-04-03T00:00:00"/>
    <x v="3"/>
    <x v="22"/>
    <n v="6667.93"/>
    <x v="1"/>
    <n v="0.9"/>
    <n v="6001.1370000000006"/>
    <n v="666.79299999999989"/>
    <n v="4"/>
    <n v="0"/>
    <x v="4"/>
  </r>
  <r>
    <s v="PAT-3797"/>
    <s v="Thomas Smith"/>
    <n v="26"/>
    <x v="0"/>
    <x v="297"/>
    <d v="2024-01-16T00:00:00"/>
    <x v="1"/>
    <x v="31"/>
    <n v="3800.12"/>
    <x v="0"/>
    <n v="0.7"/>
    <n v="2660.0839999999998"/>
    <n v="1140.0360000000001"/>
    <n v="2"/>
    <n v="3800.12"/>
    <x v="2"/>
  </r>
  <r>
    <s v="PAT-3798"/>
    <s v="Elizabeth Miller"/>
    <n v="25"/>
    <x v="1"/>
    <x v="474"/>
    <d v="2024-02-23T00:00:00"/>
    <x v="1"/>
    <x v="7"/>
    <n v="1697.82"/>
    <x v="0"/>
    <n v="0.8"/>
    <n v="1358.2560000000001"/>
    <n v="339.56399999999991"/>
    <n v="1"/>
    <n v="1697.82"/>
    <x v="2"/>
  </r>
  <r>
    <s v="PAT-3799"/>
    <s v="Robert Lopez"/>
    <n v="44"/>
    <x v="0"/>
    <x v="308"/>
    <d v="2025-11-22T00:00:00"/>
    <x v="0"/>
    <x v="29"/>
    <n v="8833.89"/>
    <x v="0"/>
    <n v="1"/>
    <n v="8833.89"/>
    <n v="0"/>
    <n v="3"/>
    <n v="8833.89"/>
    <x v="3"/>
  </r>
  <r>
    <s v="PAT-3800"/>
    <s v="Robert Hernandez"/>
    <n v="52"/>
    <x v="0"/>
    <x v="183"/>
    <d v="2025-06-02T00:00:00"/>
    <x v="2"/>
    <x v="5"/>
    <n v="809.13"/>
    <x v="1"/>
    <n v="0.6"/>
    <n v="485.47799999999995"/>
    <n v="323.65200000000004"/>
    <n v="1"/>
    <n v="0"/>
    <x v="0"/>
  </r>
  <r>
    <s v="PAT-3801"/>
    <s v="Matthew Moore"/>
    <n v="66"/>
    <x v="0"/>
    <x v="475"/>
    <d v="2024-02-15T00:00:00"/>
    <x v="1"/>
    <x v="36"/>
    <n v="2529.54"/>
    <x v="1"/>
    <n v="1"/>
    <n v="2529.54"/>
    <n v="0"/>
    <n v="2"/>
    <n v="0"/>
    <x v="1"/>
  </r>
  <r>
    <s v="PAT-3802"/>
    <s v="Donna Jackson"/>
    <n v="8"/>
    <x v="1"/>
    <x v="476"/>
    <d v="2025-10-12T00:00:00"/>
    <x v="3"/>
    <x v="9"/>
    <n v="4739.3900000000003"/>
    <x v="1"/>
    <n v="0.8"/>
    <n v="3791.5120000000006"/>
    <n v="947.87799999999982"/>
    <n v="3"/>
    <n v="0"/>
    <x v="4"/>
  </r>
  <r>
    <s v="PAT-3803"/>
    <s v="Sarah Brown"/>
    <n v="37"/>
    <x v="1"/>
    <x v="477"/>
    <d v="2025-11-01T00:00:00"/>
    <x v="1"/>
    <x v="3"/>
    <n v="1444.42"/>
    <x v="0"/>
    <n v="0.8"/>
    <n v="1155.5360000000001"/>
    <n v="288.88399999999996"/>
    <n v="1"/>
    <n v="1444.42"/>
    <x v="3"/>
  </r>
  <r>
    <s v="PAT-3804"/>
    <s v="Carol Lee"/>
    <n v="21"/>
    <x v="1"/>
    <x v="478"/>
    <d v="2024-04-03T00:00:00"/>
    <x v="2"/>
    <x v="10"/>
    <n v="646.89"/>
    <x v="1"/>
    <n v="0.7"/>
    <n v="452.82299999999998"/>
    <n v="194.06700000000004"/>
    <n v="1"/>
    <n v="0"/>
    <x v="2"/>
  </r>
  <r>
    <s v="PAT-3805"/>
    <s v="Brian Clark"/>
    <n v="64"/>
    <x v="0"/>
    <x v="193"/>
    <d v="2024-09-20T00:00:00"/>
    <x v="1"/>
    <x v="32"/>
    <n v="4600.38"/>
    <x v="0"/>
    <n v="0.7"/>
    <n v="3220.2660000000001"/>
    <n v="1380.1140000000003"/>
    <n v="2"/>
    <n v="4600.38"/>
    <x v="0"/>
  </r>
  <r>
    <s v="PAT-3806"/>
    <s v="Elizabeth Walker"/>
    <n v="78"/>
    <x v="1"/>
    <x v="368"/>
    <d v="2024-07-25T00:00:00"/>
    <x v="1"/>
    <x v="3"/>
    <n v="2479.6999999999998"/>
    <x v="0"/>
    <n v="0.8"/>
    <n v="1983.76"/>
    <n v="495.93999999999983"/>
    <n v="3"/>
    <n v="2479.6999999999998"/>
    <x v="1"/>
  </r>
  <r>
    <s v="PAT-3807"/>
    <s v="James Perez"/>
    <n v="48"/>
    <x v="0"/>
    <x v="427"/>
    <d v="2025-11-01T00:00:00"/>
    <x v="2"/>
    <x v="16"/>
    <n v="10101.09"/>
    <x v="2"/>
    <n v="0.8"/>
    <n v="8080.8720000000003"/>
    <n v="2020.2179999999996"/>
    <n v="7"/>
    <n v="0"/>
    <x v="3"/>
  </r>
  <r>
    <s v="PAT-3808"/>
    <s v="Karen Miller"/>
    <n v="59"/>
    <x v="1"/>
    <x v="479"/>
    <d v="2025-09-24T00:00:00"/>
    <x v="2"/>
    <x v="33"/>
    <n v="2291.15"/>
    <x v="0"/>
    <n v="0.6"/>
    <n v="1374.69"/>
    <n v="916.46"/>
    <n v="3"/>
    <n v="2291.15"/>
    <x v="0"/>
  </r>
  <r>
    <s v="PAT-3809"/>
    <s v="Barbara Miller"/>
    <n v="61"/>
    <x v="1"/>
    <x v="480"/>
    <d v="2024-10-08T00:00:00"/>
    <x v="2"/>
    <x v="5"/>
    <n v="4440.5200000000004"/>
    <x v="1"/>
    <n v="0"/>
    <n v="0"/>
    <n v="4440.5200000000004"/>
    <n v="3"/>
    <n v="0"/>
    <x v="0"/>
  </r>
  <r>
    <s v="PAT-3810"/>
    <s v="Richard Martinez"/>
    <n v="83"/>
    <x v="0"/>
    <x v="481"/>
    <d v="2024-11-07T00:00:00"/>
    <x v="2"/>
    <x v="16"/>
    <n v="923.56"/>
    <x v="0"/>
    <n v="0.9"/>
    <n v="831.20399999999995"/>
    <n v="92.35599999999998"/>
    <n v="1"/>
    <n v="923.56"/>
    <x v="1"/>
  </r>
  <r>
    <s v="PAT-3811"/>
    <s v="James Young"/>
    <n v="62"/>
    <x v="0"/>
    <x v="111"/>
    <d v="2024-11-08T00:00:00"/>
    <x v="0"/>
    <x v="29"/>
    <n v="7663.44"/>
    <x v="0"/>
    <n v="0.9"/>
    <n v="6897.0959999999995"/>
    <n v="766.34399999999982"/>
    <n v="3"/>
    <n v="7663.44"/>
    <x v="0"/>
  </r>
  <r>
    <s v="PAT-3812"/>
    <s v="Jennifer Smith"/>
    <n v="14"/>
    <x v="1"/>
    <x v="355"/>
    <d v="2025-02-02T00:00:00"/>
    <x v="3"/>
    <x v="24"/>
    <n v="6386.92"/>
    <x v="0"/>
    <n v="1"/>
    <n v="6386.92"/>
    <n v="0"/>
    <n v="4"/>
    <n v="6386.92"/>
    <x v="4"/>
  </r>
  <r>
    <s v="PAT-3813"/>
    <s v="Susan Thomas"/>
    <n v="41"/>
    <x v="1"/>
    <x v="474"/>
    <d v="2024-02-24T00:00:00"/>
    <x v="1"/>
    <x v="32"/>
    <n v="3243.4"/>
    <x v="2"/>
    <n v="0.7"/>
    <n v="2270.38"/>
    <n v="973.02000000000021"/>
    <n v="2"/>
    <n v="0"/>
    <x v="3"/>
  </r>
  <r>
    <s v="PAT-3814"/>
    <s v="William Anderson"/>
    <n v="28"/>
    <x v="0"/>
    <x v="390"/>
    <d v="2024-08-21T00:00:00"/>
    <x v="1"/>
    <x v="36"/>
    <n v="2328.9699999999998"/>
    <x v="2"/>
    <n v="0.6"/>
    <n v="1397.3819999999998"/>
    <n v="931.58799999999997"/>
    <n v="2"/>
    <n v="0"/>
    <x v="2"/>
  </r>
  <r>
    <s v="PAT-3815"/>
    <s v="Carol Ramirez"/>
    <n v="76"/>
    <x v="1"/>
    <x v="428"/>
    <d v="2024-04-11T00:00:00"/>
    <x v="0"/>
    <x v="20"/>
    <n v="11411.19"/>
    <x v="0"/>
    <n v="0.7"/>
    <n v="7987.8329999999996"/>
    <n v="3423.3570000000009"/>
    <n v="5"/>
    <n v="11411.19"/>
    <x v="1"/>
  </r>
  <r>
    <s v="PAT-3816"/>
    <s v="Barbara Thomas"/>
    <n v="80"/>
    <x v="1"/>
    <x v="457"/>
    <d v="2024-06-14T00:00:00"/>
    <x v="5"/>
    <x v="17"/>
    <n v="18741.169999999998"/>
    <x v="0"/>
    <n v="0.7"/>
    <n v="13118.818999999998"/>
    <n v="5622.3510000000006"/>
    <n v="8"/>
    <n v="18741.169999999998"/>
    <x v="1"/>
  </r>
  <r>
    <s v="PAT-3817"/>
    <s v="Ashley Thompson"/>
    <n v="53"/>
    <x v="1"/>
    <x v="186"/>
    <d v="2024-09-08T00:00:00"/>
    <x v="1"/>
    <x v="3"/>
    <n v="3602.24"/>
    <x v="0"/>
    <n v="0.7"/>
    <n v="2521.5679999999998"/>
    <n v="1080.672"/>
    <n v="2"/>
    <n v="3602.24"/>
    <x v="0"/>
  </r>
  <r>
    <s v="PAT-3818"/>
    <s v="Ashley Perez"/>
    <n v="50"/>
    <x v="1"/>
    <x v="418"/>
    <d v="2024-11-15T00:00:00"/>
    <x v="4"/>
    <x v="13"/>
    <n v="3967.17"/>
    <x v="0"/>
    <n v="0.9"/>
    <n v="3570.453"/>
    <n v="396.71699999999993"/>
    <n v="2"/>
    <n v="3967.17"/>
    <x v="3"/>
  </r>
  <r>
    <s v="PAT-3819"/>
    <s v="Jennifer Thompson"/>
    <n v="30"/>
    <x v="1"/>
    <x v="481"/>
    <d v="2024-11-10T00:00:00"/>
    <x v="4"/>
    <x v="18"/>
    <n v="5430.38"/>
    <x v="0"/>
    <n v="0.8"/>
    <n v="4344.3040000000001"/>
    <n v="1086.0759999999998"/>
    <n v="4"/>
    <n v="5430.38"/>
    <x v="2"/>
  </r>
  <r>
    <s v="PAT-3820"/>
    <s v="Barbara Martinez"/>
    <n v="49"/>
    <x v="1"/>
    <x v="3"/>
    <d v="2024-10-29T00:00:00"/>
    <x v="2"/>
    <x v="5"/>
    <n v="3153.91"/>
    <x v="0"/>
    <n v="0.9"/>
    <n v="2838.5189999999998"/>
    <n v="315.39099999999991"/>
    <n v="6"/>
    <n v="3153.91"/>
    <x v="3"/>
  </r>
  <r>
    <s v="PAT-3821"/>
    <s v="Jessica Perez"/>
    <n v="32"/>
    <x v="1"/>
    <x v="228"/>
    <d v="2024-09-18T00:00:00"/>
    <x v="2"/>
    <x v="33"/>
    <n v="4214.28"/>
    <x v="0"/>
    <n v="0.8"/>
    <n v="3371.424"/>
    <n v="842.85599999999977"/>
    <n v="6"/>
    <n v="4214.28"/>
    <x v="2"/>
  </r>
  <r>
    <s v="PAT-3822"/>
    <s v="Richard Anderson"/>
    <n v="70"/>
    <x v="0"/>
    <x v="482"/>
    <d v="2025-10-20T00:00:00"/>
    <x v="5"/>
    <x v="30"/>
    <n v="5898.39"/>
    <x v="1"/>
    <n v="0.6"/>
    <n v="3539.0340000000001"/>
    <n v="2359.3560000000002"/>
    <n v="3"/>
    <n v="0"/>
    <x v="1"/>
  </r>
  <r>
    <s v="PAT-3823"/>
    <s v="Susan Garcia"/>
    <n v="35"/>
    <x v="1"/>
    <x v="483"/>
    <d v="2025-11-27T00:00:00"/>
    <x v="4"/>
    <x v="27"/>
    <n v="32045.67"/>
    <x v="0"/>
    <n v="0.8"/>
    <n v="25636.536"/>
    <n v="6409.1339999999982"/>
    <n v="14"/>
    <n v="32045.67"/>
    <x v="2"/>
  </r>
  <r>
    <s v="PAT-3824"/>
    <s v="Thomas Jones"/>
    <n v="77"/>
    <x v="0"/>
    <x v="484"/>
    <d v="2024-04-06T00:00:00"/>
    <x v="5"/>
    <x v="34"/>
    <n v="11916.1"/>
    <x v="0"/>
    <n v="0.9"/>
    <n v="10724.49"/>
    <n v="1191.6099999999997"/>
    <n v="5"/>
    <n v="11916.1"/>
    <x v="1"/>
  </r>
  <r>
    <s v="PAT-3825"/>
    <s v="Barbara Thompson"/>
    <n v="26"/>
    <x v="1"/>
    <x v="485"/>
    <d v="2024-11-22T00:00:00"/>
    <x v="2"/>
    <x v="21"/>
    <n v="5499.8"/>
    <x v="1"/>
    <n v="0.8"/>
    <n v="4399.84"/>
    <n v="1099.9599999999998"/>
    <n v="7"/>
    <n v="0"/>
    <x v="2"/>
  </r>
  <r>
    <s v="PAT-3826"/>
    <s v="Andrew Jackson"/>
    <n v="32"/>
    <x v="0"/>
    <x v="259"/>
    <d v="2025-11-17T00:00:00"/>
    <x v="5"/>
    <x v="17"/>
    <n v="8755.16"/>
    <x v="0"/>
    <n v="0.5"/>
    <n v="4377.58"/>
    <n v="4377.58"/>
    <n v="5"/>
    <n v="8755.16"/>
    <x v="2"/>
  </r>
  <r>
    <s v="PAT-3827"/>
    <s v="Matthew White"/>
    <n v="35"/>
    <x v="0"/>
    <x v="449"/>
    <d v="2025-01-12T00:00:00"/>
    <x v="2"/>
    <x v="21"/>
    <n v="3252.83"/>
    <x v="2"/>
    <n v="0.7"/>
    <n v="2276.9809999999998"/>
    <n v="975.84900000000016"/>
    <n v="5"/>
    <n v="0"/>
    <x v="2"/>
  </r>
  <r>
    <s v="PAT-3828"/>
    <s v="Michelle Martinez"/>
    <n v="52"/>
    <x v="1"/>
    <x v="486"/>
    <d v="2025-10-13T00:00:00"/>
    <x v="4"/>
    <x v="14"/>
    <n v="12778.56"/>
    <x v="1"/>
    <n v="0.8"/>
    <n v="10222.848"/>
    <n v="2555.7119999999995"/>
    <n v="5"/>
    <n v="0"/>
    <x v="0"/>
  </r>
  <r>
    <s v="PAT-3829"/>
    <s v="Daniel White"/>
    <n v="73"/>
    <x v="0"/>
    <x v="259"/>
    <d v="2025-11-24T00:00:00"/>
    <x v="4"/>
    <x v="13"/>
    <n v="27830.62"/>
    <x v="1"/>
    <n v="0.6"/>
    <n v="16698.371999999999"/>
    <n v="11132.248"/>
    <n v="12"/>
    <n v="0"/>
    <x v="1"/>
  </r>
  <r>
    <s v="PAT-3830"/>
    <s v="Joseph Perez"/>
    <n v="5"/>
    <x v="0"/>
    <x v="406"/>
    <d v="2025-07-26T00:00:00"/>
    <x v="3"/>
    <x v="37"/>
    <n v="4474.62"/>
    <x v="1"/>
    <n v="1"/>
    <n v="4474.62"/>
    <n v="0"/>
    <n v="4"/>
    <n v="0"/>
    <x v="4"/>
  </r>
  <r>
    <s v="PAT-3831"/>
    <s v="James Moore"/>
    <n v="13"/>
    <x v="0"/>
    <x v="189"/>
    <d v="2025-01-05T00:00:00"/>
    <x v="3"/>
    <x v="37"/>
    <n v="3553.09"/>
    <x v="1"/>
    <n v="0.6"/>
    <n v="2131.8539999999998"/>
    <n v="1421.2360000000001"/>
    <n v="4"/>
    <n v="0"/>
    <x v="4"/>
  </r>
  <r>
    <s v="PAT-3832"/>
    <s v="Joshua Thompson"/>
    <n v="16"/>
    <x v="0"/>
    <x v="20"/>
    <d v="2025-10-24T00:00:00"/>
    <x v="3"/>
    <x v="22"/>
    <n v="2767.65"/>
    <x v="0"/>
    <n v="0.7"/>
    <n v="1937.355"/>
    <n v="830.29500000000019"/>
    <n v="2"/>
    <n v="2767.65"/>
    <x v="4"/>
  </r>
  <r>
    <s v="PAT-3833"/>
    <s v="Kevin Lopez"/>
    <n v="14"/>
    <x v="0"/>
    <x v="487"/>
    <d v="2024-06-11T00:00:00"/>
    <x v="3"/>
    <x v="9"/>
    <n v="2721.43"/>
    <x v="0"/>
    <n v="0.8"/>
    <n v="2177.1439999999998"/>
    <n v="544.28599999999983"/>
    <n v="2"/>
    <n v="2721.43"/>
    <x v="4"/>
  </r>
  <r>
    <s v="PAT-3834"/>
    <s v="Jennifer Thomas"/>
    <n v="21"/>
    <x v="1"/>
    <x v="488"/>
    <d v="2024-10-11T00:00:00"/>
    <x v="1"/>
    <x v="31"/>
    <n v="2887.15"/>
    <x v="2"/>
    <n v="0.9"/>
    <n v="2598.4349999999999"/>
    <n v="288.71499999999992"/>
    <n v="3"/>
    <n v="0"/>
    <x v="2"/>
  </r>
  <r>
    <s v="PAT-3835"/>
    <s v="Daniel Wilson"/>
    <n v="29"/>
    <x v="0"/>
    <x v="489"/>
    <d v="2024-09-20T00:00:00"/>
    <x v="1"/>
    <x v="2"/>
    <n v="7071.48"/>
    <x v="0"/>
    <n v="0.8"/>
    <n v="5657.1840000000002"/>
    <n v="1414.2959999999996"/>
    <n v="3"/>
    <n v="7071.48"/>
    <x v="2"/>
  </r>
  <r>
    <s v="PAT-3836"/>
    <s v="Kimberly Harris"/>
    <n v="72"/>
    <x v="1"/>
    <x v="161"/>
    <d v="2024-01-13T00:00:00"/>
    <x v="0"/>
    <x v="29"/>
    <n v="8289.81"/>
    <x v="0"/>
    <n v="0.8"/>
    <n v="6631.848"/>
    <n v="1657.9619999999995"/>
    <n v="4"/>
    <n v="8289.81"/>
    <x v="1"/>
  </r>
  <r>
    <s v="PAT-3837"/>
    <s v="Elizabeth Jackson"/>
    <n v="20"/>
    <x v="1"/>
    <x v="490"/>
    <d v="2025-07-09T00:00:00"/>
    <x v="2"/>
    <x v="21"/>
    <n v="1605.53"/>
    <x v="0"/>
    <n v="0.8"/>
    <n v="1284.424"/>
    <n v="321.10599999999994"/>
    <n v="3"/>
    <n v="1605.53"/>
    <x v="2"/>
  </r>
  <r>
    <s v="PAT-3838"/>
    <s v="Betty Wilson"/>
    <n v="26"/>
    <x v="1"/>
    <x v="266"/>
    <d v="2025-01-18T00:00:00"/>
    <x v="2"/>
    <x v="21"/>
    <n v="3803.99"/>
    <x v="2"/>
    <n v="0.5"/>
    <n v="1901.9949999999999"/>
    <n v="1901.9949999999999"/>
    <n v="3"/>
    <n v="0"/>
    <x v="2"/>
  </r>
  <r>
    <s v="PAT-3839"/>
    <s v="Karen Lopez"/>
    <n v="41"/>
    <x v="1"/>
    <x v="149"/>
    <d v="2025-09-19T00:00:00"/>
    <x v="4"/>
    <x v="27"/>
    <n v="11654.43"/>
    <x v="2"/>
    <n v="0"/>
    <n v="0"/>
    <n v="11654.43"/>
    <n v="6"/>
    <n v="0"/>
    <x v="3"/>
  </r>
  <r>
    <s v="PAT-3840"/>
    <s v="Christopher Brown"/>
    <n v="1"/>
    <x v="0"/>
    <x v="341"/>
    <d v="2025-12-15T00:00:00"/>
    <x v="3"/>
    <x v="25"/>
    <n v="3542.96"/>
    <x v="2"/>
    <n v="0.8"/>
    <n v="2834.3680000000004"/>
    <n v="708.59199999999987"/>
    <n v="2"/>
    <n v="0"/>
    <x v="4"/>
  </r>
  <r>
    <s v="PAT-3841"/>
    <s v="Robert Moore"/>
    <n v="1"/>
    <x v="0"/>
    <x v="491"/>
    <d v="2025-12-11T00:00:00"/>
    <x v="3"/>
    <x v="23"/>
    <n v="6340.11"/>
    <x v="1"/>
    <n v="0.7"/>
    <n v="4438.0769999999993"/>
    <n v="1902.0330000000001"/>
    <n v="5"/>
    <n v="0"/>
    <x v="4"/>
  </r>
  <r>
    <s v="PAT-3842"/>
    <s v="Joshua Walker"/>
    <n v="31"/>
    <x v="0"/>
    <x v="492"/>
    <d v="2024-04-17T00:00:00"/>
    <x v="4"/>
    <x v="18"/>
    <n v="33330.199999999997"/>
    <x v="0"/>
    <n v="0.6"/>
    <n v="19998.12"/>
    <n v="13332.08"/>
    <n v="13"/>
    <n v="33330.199999999997"/>
    <x v="2"/>
  </r>
  <r>
    <s v="PAT-3843"/>
    <s v="Barbara Martin"/>
    <n v="35"/>
    <x v="1"/>
    <x v="18"/>
    <d v="2024-12-26T00:00:00"/>
    <x v="4"/>
    <x v="14"/>
    <n v="4622.9399999999996"/>
    <x v="0"/>
    <n v="0.9"/>
    <n v="4160.6459999999997"/>
    <n v="462.29399999999987"/>
    <n v="3"/>
    <n v="4622.9399999999996"/>
    <x v="2"/>
  </r>
  <r>
    <s v="PAT-3844"/>
    <s v="William Thomas"/>
    <n v="2"/>
    <x v="0"/>
    <x v="373"/>
    <d v="2024-07-04T00:00:00"/>
    <x v="3"/>
    <x v="24"/>
    <n v="6314.88"/>
    <x v="0"/>
    <n v="0.7"/>
    <n v="4420.4160000000002"/>
    <n v="1894.4640000000004"/>
    <n v="5"/>
    <n v="6314.88"/>
    <x v="4"/>
  </r>
  <r>
    <s v="PAT-3845"/>
    <s v="Joshua Davis"/>
    <n v="25"/>
    <x v="0"/>
    <x v="493"/>
    <d v="2024-05-11T00:00:00"/>
    <x v="4"/>
    <x v="18"/>
    <n v="25971.47"/>
    <x v="1"/>
    <n v="0.8"/>
    <n v="20777.176000000003"/>
    <n v="5194.293999999999"/>
    <n v="14"/>
    <n v="0"/>
    <x v="2"/>
  </r>
  <r>
    <s v="PAT-3846"/>
    <s v="Lisa Miller"/>
    <n v="44"/>
    <x v="1"/>
    <x v="7"/>
    <d v="2024-02-29T00:00:00"/>
    <x v="2"/>
    <x v="33"/>
    <n v="2926.43"/>
    <x v="0"/>
    <n v="0.9"/>
    <n v="2633.7869999999998"/>
    <n v="292.64299999999992"/>
    <n v="5"/>
    <n v="2926.43"/>
    <x v="3"/>
  </r>
  <r>
    <s v="PAT-3847"/>
    <s v="Daniel Ramirez"/>
    <n v="39"/>
    <x v="0"/>
    <x v="494"/>
    <d v="2025-10-06T00:00:00"/>
    <x v="2"/>
    <x v="8"/>
    <n v="6712.97"/>
    <x v="1"/>
    <n v="0.8"/>
    <n v="5370.3760000000002"/>
    <n v="1342.5939999999998"/>
    <n v="5"/>
    <n v="0"/>
    <x v="3"/>
  </r>
  <r>
    <s v="PAT-3848"/>
    <s v="Karen Miller"/>
    <n v="72"/>
    <x v="1"/>
    <x v="495"/>
    <d v="2024-09-07T00:00:00"/>
    <x v="2"/>
    <x v="5"/>
    <n v="3235.11"/>
    <x v="0"/>
    <n v="0.8"/>
    <n v="2588.0880000000002"/>
    <n v="647.02199999999993"/>
    <n v="3"/>
    <n v="3235.11"/>
    <x v="1"/>
  </r>
  <r>
    <s v="PAT-3849"/>
    <s v="Steven Williams"/>
    <n v="64"/>
    <x v="0"/>
    <x v="69"/>
    <d v="2025-11-09T00:00:00"/>
    <x v="1"/>
    <x v="7"/>
    <n v="1023.76"/>
    <x v="0"/>
    <n v="1"/>
    <n v="1023.76"/>
    <n v="0"/>
    <n v="1"/>
    <n v="1023.76"/>
    <x v="0"/>
  </r>
  <r>
    <s v="PAT-3850"/>
    <s v="Donna Lee"/>
    <n v="15"/>
    <x v="1"/>
    <x v="63"/>
    <d v="2025-03-20T00:00:00"/>
    <x v="3"/>
    <x v="22"/>
    <n v="3307.88"/>
    <x v="2"/>
    <n v="0.8"/>
    <n v="2646.3040000000001"/>
    <n v="661.57599999999991"/>
    <n v="5"/>
    <n v="0"/>
    <x v="4"/>
  </r>
  <r>
    <s v="PAT-3851"/>
    <s v="Richard Thompson"/>
    <n v="1"/>
    <x v="0"/>
    <x v="496"/>
    <d v="2024-03-15T00:00:00"/>
    <x v="3"/>
    <x v="22"/>
    <n v="2503.98"/>
    <x v="0"/>
    <n v="0.5"/>
    <n v="1251.99"/>
    <n v="1251.99"/>
    <n v="2"/>
    <n v="2503.98"/>
    <x v="4"/>
  </r>
  <r>
    <s v="PAT-3852"/>
    <s v="Mark Young"/>
    <n v="36"/>
    <x v="0"/>
    <x v="385"/>
    <d v="2024-09-20T00:00:00"/>
    <x v="4"/>
    <x v="11"/>
    <n v="9721.9"/>
    <x v="1"/>
    <n v="0"/>
    <n v="0"/>
    <n v="9721.9"/>
    <n v="6"/>
    <n v="0"/>
    <x v="3"/>
  </r>
  <r>
    <s v="PAT-3853"/>
    <s v="Steven Lewis"/>
    <n v="45"/>
    <x v="0"/>
    <x v="497"/>
    <d v="2025-05-02T00:00:00"/>
    <x v="2"/>
    <x v="4"/>
    <n v="8925.93"/>
    <x v="2"/>
    <n v="0.7"/>
    <n v="6248.1509999999998"/>
    <n v="2677.7790000000005"/>
    <n v="7"/>
    <n v="0"/>
    <x v="3"/>
  </r>
  <r>
    <s v="PAT-3854"/>
    <s v="Kevin Anderson"/>
    <n v="31"/>
    <x v="0"/>
    <x v="391"/>
    <d v="2024-04-28T00:00:00"/>
    <x v="2"/>
    <x v="10"/>
    <n v="2423.96"/>
    <x v="0"/>
    <n v="0.9"/>
    <n v="2181.5640000000003"/>
    <n v="242.39599999999996"/>
    <n v="3"/>
    <n v="2423.96"/>
    <x v="2"/>
  </r>
  <r>
    <s v="PAT-3855"/>
    <s v="Donna Martin"/>
    <n v="77"/>
    <x v="1"/>
    <x v="88"/>
    <d v="2024-11-22T00:00:00"/>
    <x v="2"/>
    <x v="5"/>
    <n v="4453.26"/>
    <x v="1"/>
    <n v="0.6"/>
    <n v="2671.9560000000001"/>
    <n v="1781.3040000000001"/>
    <n v="6"/>
    <n v="0"/>
    <x v="1"/>
  </r>
  <r>
    <s v="PAT-3856"/>
    <s v="Kevin Lewis"/>
    <n v="78"/>
    <x v="0"/>
    <x v="228"/>
    <d v="2024-09-15T00:00:00"/>
    <x v="5"/>
    <x v="28"/>
    <n v="4774.57"/>
    <x v="0"/>
    <n v="0.9"/>
    <n v="4297.1130000000003"/>
    <n v="477.45699999999988"/>
    <n v="3"/>
    <n v="4774.57"/>
    <x v="1"/>
  </r>
  <r>
    <s v="PAT-3857"/>
    <s v="Betty Jackson"/>
    <n v="31"/>
    <x v="1"/>
    <x v="133"/>
    <d v="2024-04-03T00:00:00"/>
    <x v="1"/>
    <x v="7"/>
    <n v="3412"/>
    <x v="0"/>
    <n v="1"/>
    <n v="3412"/>
    <n v="0"/>
    <n v="3"/>
    <n v="3412"/>
    <x v="2"/>
  </r>
  <r>
    <s v="PAT-3858"/>
    <s v="Ashley Martin"/>
    <n v="51"/>
    <x v="1"/>
    <x v="498"/>
    <d v="2024-10-12T00:00:00"/>
    <x v="2"/>
    <x v="10"/>
    <n v="1093.33"/>
    <x v="0"/>
    <n v="0.8"/>
    <n v="874.66399999999999"/>
    <n v="218.66599999999994"/>
    <n v="1"/>
    <n v="1093.33"/>
    <x v="0"/>
  </r>
  <r>
    <s v="PAT-3859"/>
    <s v="Linda Lewis"/>
    <n v="3"/>
    <x v="1"/>
    <x v="499"/>
    <d v="2025-11-07T00:00:00"/>
    <x v="3"/>
    <x v="9"/>
    <n v="5111.21"/>
    <x v="0"/>
    <n v="1"/>
    <n v="5111.21"/>
    <n v="0"/>
    <n v="4"/>
    <n v="5111.21"/>
    <x v="4"/>
  </r>
  <r>
    <s v="PAT-3860"/>
    <s v="Kevin Walker"/>
    <n v="75"/>
    <x v="0"/>
    <x v="156"/>
    <d v="2025-03-07T00:00:00"/>
    <x v="2"/>
    <x v="8"/>
    <n v="5375.85"/>
    <x v="0"/>
    <n v="0.7"/>
    <n v="3763.0949999999998"/>
    <n v="1612.7550000000003"/>
    <n v="6"/>
    <n v="5375.85"/>
    <x v="1"/>
  </r>
  <r>
    <s v="PAT-3861"/>
    <s v="Kevin Lee"/>
    <n v="55"/>
    <x v="0"/>
    <x v="5"/>
    <d v="2024-07-25T00:00:00"/>
    <x v="4"/>
    <x v="11"/>
    <n v="9604.6200000000008"/>
    <x v="1"/>
    <n v="1"/>
    <n v="9604.6200000000008"/>
    <n v="0"/>
    <n v="4"/>
    <n v="0"/>
    <x v="0"/>
  </r>
  <r>
    <s v="PAT-3862"/>
    <s v="Betty Lopez"/>
    <n v="51"/>
    <x v="1"/>
    <x v="500"/>
    <d v="2024-12-14T00:00:00"/>
    <x v="2"/>
    <x v="33"/>
    <n v="8806.14"/>
    <x v="0"/>
    <n v="0.7"/>
    <n v="6164.2979999999989"/>
    <n v="2641.8420000000001"/>
    <n v="7"/>
    <n v="8806.14"/>
    <x v="0"/>
  </r>
  <r>
    <s v="PAT-3863"/>
    <s v="Kimberly Anderson"/>
    <n v="20"/>
    <x v="1"/>
    <x v="355"/>
    <d v="2025-01-31T00:00:00"/>
    <x v="1"/>
    <x v="32"/>
    <n v="3945.82"/>
    <x v="0"/>
    <n v="0.8"/>
    <n v="3156.6560000000004"/>
    <n v="789.16399999999987"/>
    <n v="2"/>
    <n v="3945.82"/>
    <x v="2"/>
  </r>
  <r>
    <s v="PAT-3864"/>
    <s v="Sandra Wilson"/>
    <n v="33"/>
    <x v="1"/>
    <x v="150"/>
    <d v="2025-08-16T00:00:00"/>
    <x v="1"/>
    <x v="31"/>
    <n v="2303.3000000000002"/>
    <x v="0"/>
    <n v="0.8"/>
    <n v="1842.6400000000003"/>
    <n v="460.65999999999991"/>
    <n v="1"/>
    <n v="2303.3000000000002"/>
    <x v="2"/>
  </r>
  <r>
    <s v="PAT-3865"/>
    <s v="Daniel Thomas"/>
    <n v="9"/>
    <x v="0"/>
    <x v="437"/>
    <d v="2025-06-07T00:00:00"/>
    <x v="3"/>
    <x v="23"/>
    <n v="1534.49"/>
    <x v="0"/>
    <n v="0.8"/>
    <n v="1227.5920000000001"/>
    <n v="306.89799999999991"/>
    <n v="1"/>
    <n v="1534.49"/>
    <x v="4"/>
  </r>
  <r>
    <s v="PAT-3866"/>
    <s v="Paul Thomas"/>
    <n v="27"/>
    <x v="0"/>
    <x v="472"/>
    <d v="2024-02-28T00:00:00"/>
    <x v="2"/>
    <x v="16"/>
    <n v="1353.93"/>
    <x v="0"/>
    <n v="0.8"/>
    <n v="1083.144"/>
    <n v="270.78599999999994"/>
    <n v="1"/>
    <n v="1353.93"/>
    <x v="2"/>
  </r>
  <r>
    <s v="PAT-3867"/>
    <s v="Dorothy Wilson"/>
    <n v="70"/>
    <x v="1"/>
    <x v="501"/>
    <d v="2024-05-16T00:00:00"/>
    <x v="0"/>
    <x v="29"/>
    <n v="12898.02"/>
    <x v="1"/>
    <n v="0.5"/>
    <n v="6449.01"/>
    <n v="6449.01"/>
    <n v="6"/>
    <n v="0"/>
    <x v="1"/>
  </r>
  <r>
    <s v="PAT-3868"/>
    <s v="Karen Jones"/>
    <n v="62"/>
    <x v="1"/>
    <x v="102"/>
    <d v="2024-05-12T00:00:00"/>
    <x v="2"/>
    <x v="10"/>
    <n v="4833.0200000000004"/>
    <x v="2"/>
    <n v="0.7"/>
    <n v="3383.114"/>
    <n v="1449.9060000000004"/>
    <n v="4"/>
    <n v="0"/>
    <x v="0"/>
  </r>
  <r>
    <s v="PAT-3869"/>
    <s v="Mark Martinez"/>
    <n v="42"/>
    <x v="0"/>
    <x v="122"/>
    <d v="2024-11-26T00:00:00"/>
    <x v="4"/>
    <x v="27"/>
    <n v="3132.44"/>
    <x v="0"/>
    <n v="0.8"/>
    <n v="2505.9520000000002"/>
    <n v="626.48799999999983"/>
    <n v="3"/>
    <n v="3132.44"/>
    <x v="3"/>
  </r>
  <r>
    <s v="PAT-3870"/>
    <s v="Brian Jackson"/>
    <n v="60"/>
    <x v="0"/>
    <x v="351"/>
    <d v="2025-05-21T00:00:00"/>
    <x v="5"/>
    <x v="28"/>
    <n v="9720.49"/>
    <x v="1"/>
    <n v="0.9"/>
    <n v="8748.4410000000007"/>
    <n v="972.04899999999975"/>
    <n v="7"/>
    <n v="0"/>
    <x v="0"/>
  </r>
  <r>
    <s v="PAT-3871"/>
    <s v="Sandra Harris"/>
    <n v="16"/>
    <x v="1"/>
    <x v="27"/>
    <d v="2025-01-28T00:00:00"/>
    <x v="3"/>
    <x v="9"/>
    <n v="3754.13"/>
    <x v="0"/>
    <n v="0.8"/>
    <n v="3003.3040000000001"/>
    <n v="750.82599999999991"/>
    <n v="3"/>
    <n v="3754.13"/>
    <x v="4"/>
  </r>
  <r>
    <s v="PAT-3872"/>
    <s v="Thomas Smith"/>
    <n v="34"/>
    <x v="0"/>
    <x v="278"/>
    <d v="2024-10-08T00:00:00"/>
    <x v="2"/>
    <x v="8"/>
    <n v="5762.53"/>
    <x v="0"/>
    <n v="0.9"/>
    <n v="5186.277"/>
    <n v="576.25299999999982"/>
    <n v="4"/>
    <n v="5762.53"/>
    <x v="2"/>
  </r>
  <r>
    <s v="PAT-3873"/>
    <s v="James Rodriguez"/>
    <n v="79"/>
    <x v="0"/>
    <x v="502"/>
    <d v="2025-11-08T00:00:00"/>
    <x v="2"/>
    <x v="21"/>
    <n v="808.56"/>
    <x v="0"/>
    <n v="0.7"/>
    <n v="565.99199999999996"/>
    <n v="242.56800000000001"/>
    <n v="1"/>
    <n v="808.56"/>
    <x v="1"/>
  </r>
  <r>
    <s v="PAT-3874"/>
    <s v="Dorothy Johnson"/>
    <n v="64"/>
    <x v="1"/>
    <x v="259"/>
    <d v="2025-11-20T00:00:00"/>
    <x v="0"/>
    <x v="6"/>
    <n v="15637.55"/>
    <x v="0"/>
    <n v="0.9"/>
    <n v="14073.795"/>
    <n v="1563.7549999999997"/>
    <n v="8"/>
    <n v="15637.55"/>
    <x v="0"/>
  </r>
  <r>
    <s v="PAT-3875"/>
    <s v="Carol Ramirez"/>
    <n v="58"/>
    <x v="1"/>
    <x v="503"/>
    <d v="2025-03-08T00:00:00"/>
    <x v="1"/>
    <x v="7"/>
    <n v="4011.18"/>
    <x v="0"/>
    <n v="0.9"/>
    <n v="3610.0619999999999"/>
    <n v="401.11799999999988"/>
    <n v="2"/>
    <n v="4011.18"/>
    <x v="0"/>
  </r>
  <r>
    <s v="PAT-3876"/>
    <s v="Matthew Lee"/>
    <n v="53"/>
    <x v="0"/>
    <x v="504"/>
    <d v="2024-05-05T00:00:00"/>
    <x v="0"/>
    <x v="20"/>
    <n v="10693.69"/>
    <x v="0"/>
    <n v="1"/>
    <n v="10693.69"/>
    <n v="0"/>
    <n v="5"/>
    <n v="10693.69"/>
    <x v="0"/>
  </r>
  <r>
    <s v="PAT-3877"/>
    <s v="Michelle Ramirez"/>
    <n v="39"/>
    <x v="1"/>
    <x v="500"/>
    <d v="2024-12-10T00:00:00"/>
    <x v="4"/>
    <x v="27"/>
    <n v="3746.98"/>
    <x v="0"/>
    <n v="0.8"/>
    <n v="2997.5840000000003"/>
    <n v="749.39599999999984"/>
    <n v="3"/>
    <n v="3746.98"/>
    <x v="3"/>
  </r>
  <r>
    <s v="PAT-3878"/>
    <s v="Richard Davis"/>
    <n v="31"/>
    <x v="0"/>
    <x v="114"/>
    <d v="2024-08-21T00:00:00"/>
    <x v="5"/>
    <x v="34"/>
    <n v="24544.65"/>
    <x v="0"/>
    <n v="0.8"/>
    <n v="19635.72"/>
    <n v="4908.9299999999994"/>
    <n v="10"/>
    <n v="24544.65"/>
    <x v="2"/>
  </r>
  <r>
    <s v="PAT-3879"/>
    <s v="Richard Harris"/>
    <n v="35"/>
    <x v="0"/>
    <x v="505"/>
    <d v="2024-11-09T00:00:00"/>
    <x v="1"/>
    <x v="31"/>
    <n v="1355.19"/>
    <x v="0"/>
    <n v="0.8"/>
    <n v="1084.152"/>
    <n v="271.03799999999995"/>
    <n v="1"/>
    <n v="1355.19"/>
    <x v="2"/>
  </r>
  <r>
    <s v="PAT-3880"/>
    <s v="Jennifer Jones"/>
    <n v="10"/>
    <x v="1"/>
    <x v="398"/>
    <d v="2024-07-26T00:00:00"/>
    <x v="3"/>
    <x v="24"/>
    <n v="628.96"/>
    <x v="0"/>
    <n v="0.7"/>
    <n v="440.27199999999999"/>
    <n v="188.68800000000005"/>
    <n v="1"/>
    <n v="628.96"/>
    <x v="4"/>
  </r>
  <r>
    <s v="PAT-3881"/>
    <s v="Emily Martinez"/>
    <n v="47"/>
    <x v="1"/>
    <x v="506"/>
    <d v="2025-01-29T00:00:00"/>
    <x v="2"/>
    <x v="16"/>
    <n v="2366.37"/>
    <x v="0"/>
    <n v="0.8"/>
    <n v="1893.096"/>
    <n v="473.27399999999989"/>
    <n v="2"/>
    <n v="2366.37"/>
    <x v="3"/>
  </r>
  <r>
    <s v="PAT-3882"/>
    <s v="Kevin Thomas"/>
    <n v="22"/>
    <x v="0"/>
    <x v="375"/>
    <d v="2024-10-01T00:00:00"/>
    <x v="1"/>
    <x v="36"/>
    <n v="2471.9699999999998"/>
    <x v="0"/>
    <n v="0.5"/>
    <n v="1235.9849999999999"/>
    <n v="1235.9849999999999"/>
    <n v="1"/>
    <n v="2471.9699999999998"/>
    <x v="2"/>
  </r>
  <r>
    <s v="PAT-3883"/>
    <s v="Elizabeth Young"/>
    <n v="51"/>
    <x v="1"/>
    <x v="485"/>
    <d v="2024-11-20T00:00:00"/>
    <x v="0"/>
    <x v="19"/>
    <n v="12189.63"/>
    <x v="0"/>
    <n v="0.9"/>
    <n v="10970.666999999999"/>
    <n v="1218.9629999999997"/>
    <n v="5"/>
    <n v="12189.63"/>
    <x v="0"/>
  </r>
  <r>
    <s v="PAT-3884"/>
    <s v="Steven Jones"/>
    <n v="7"/>
    <x v="0"/>
    <x v="181"/>
    <d v="2025-01-06T00:00:00"/>
    <x v="3"/>
    <x v="23"/>
    <n v="4133.3599999999997"/>
    <x v="1"/>
    <n v="0.6"/>
    <n v="2480.0159999999996"/>
    <n v="1653.3440000000001"/>
    <n v="3"/>
    <n v="0"/>
    <x v="4"/>
  </r>
  <r>
    <s v="PAT-3885"/>
    <s v="Elizabeth Lee"/>
    <n v="29"/>
    <x v="1"/>
    <x v="266"/>
    <d v="2025-01-25T00:00:00"/>
    <x v="4"/>
    <x v="13"/>
    <n v="10560.57"/>
    <x v="0"/>
    <n v="0.7"/>
    <n v="7392.3989999999994"/>
    <n v="3168.1710000000003"/>
    <n v="10"/>
    <n v="10560.57"/>
    <x v="2"/>
  </r>
  <r>
    <s v="PAT-3886"/>
    <s v="Donna Harris"/>
    <n v="55"/>
    <x v="1"/>
    <x v="5"/>
    <d v="2024-07-27T00:00:00"/>
    <x v="0"/>
    <x v="20"/>
    <n v="16685.38"/>
    <x v="2"/>
    <n v="0.9"/>
    <n v="15016.842000000001"/>
    <n v="1668.5379999999998"/>
    <n v="6"/>
    <n v="0"/>
    <x v="0"/>
  </r>
  <r>
    <s v="PAT-3887"/>
    <s v="Betty Thompson"/>
    <n v="43"/>
    <x v="1"/>
    <x v="507"/>
    <d v="2024-06-12T00:00:00"/>
    <x v="4"/>
    <x v="18"/>
    <n v="12448.18"/>
    <x v="0"/>
    <n v="0.9"/>
    <n v="11203.362000000001"/>
    <n v="1244.8179999999998"/>
    <n v="5"/>
    <n v="12448.18"/>
    <x v="3"/>
  </r>
  <r>
    <s v="PAT-3888"/>
    <s v="Carol Garcia"/>
    <n v="58"/>
    <x v="1"/>
    <x v="186"/>
    <d v="2024-09-09T00:00:00"/>
    <x v="5"/>
    <x v="35"/>
    <n v="7181.24"/>
    <x v="0"/>
    <n v="0.8"/>
    <n v="5744.9920000000002"/>
    <n v="1436.2479999999996"/>
    <n v="3"/>
    <n v="7181.24"/>
    <x v="0"/>
  </r>
  <r>
    <s v="PAT-3889"/>
    <s v="Donna Martin"/>
    <n v="51"/>
    <x v="1"/>
    <x v="508"/>
    <d v="2025-11-26T00:00:00"/>
    <x v="5"/>
    <x v="12"/>
    <n v="12719.1"/>
    <x v="1"/>
    <n v="0.8"/>
    <n v="10175.280000000001"/>
    <n v="2543.8199999999997"/>
    <n v="10"/>
    <n v="0"/>
    <x v="0"/>
  </r>
  <r>
    <s v="PAT-3890"/>
    <s v="Sarah Walker"/>
    <n v="19"/>
    <x v="1"/>
    <x v="396"/>
    <d v="2024-07-21T00:00:00"/>
    <x v="2"/>
    <x v="10"/>
    <n v="3960.59"/>
    <x v="2"/>
    <n v="0.7"/>
    <n v="2772.413"/>
    <n v="1188.1770000000001"/>
    <n v="5"/>
    <n v="0"/>
    <x v="2"/>
  </r>
  <r>
    <s v="PAT-3891"/>
    <s v="Kevin Hernandez"/>
    <n v="73"/>
    <x v="0"/>
    <x v="509"/>
    <d v="2025-06-06T00:00:00"/>
    <x v="4"/>
    <x v="26"/>
    <n v="32658.41"/>
    <x v="0"/>
    <n v="1"/>
    <n v="32658.41"/>
    <n v="0"/>
    <n v="13"/>
    <n v="32658.41"/>
    <x v="1"/>
  </r>
  <r>
    <s v="PAT-3892"/>
    <s v="Matthew Miller"/>
    <n v="53"/>
    <x v="0"/>
    <x v="361"/>
    <d v="2025-01-07T00:00:00"/>
    <x v="1"/>
    <x v="31"/>
    <n v="4283.7"/>
    <x v="2"/>
    <n v="0.7"/>
    <n v="2998.5899999999997"/>
    <n v="1285.1100000000001"/>
    <n v="3"/>
    <n v="0"/>
    <x v="0"/>
  </r>
  <r>
    <s v="PAT-3893"/>
    <s v="David Clark"/>
    <n v="52"/>
    <x v="0"/>
    <x v="127"/>
    <d v="2024-07-10T00:00:00"/>
    <x v="4"/>
    <x v="14"/>
    <n v="5291.81"/>
    <x v="0"/>
    <n v="0.5"/>
    <n v="2645.9050000000002"/>
    <n v="2645.9050000000002"/>
    <n v="2"/>
    <n v="5291.81"/>
    <x v="0"/>
  </r>
  <r>
    <s v="PAT-3894"/>
    <s v="Elizabeth Miller"/>
    <n v="80"/>
    <x v="1"/>
    <x v="510"/>
    <d v="2024-12-03T00:00:00"/>
    <x v="2"/>
    <x v="5"/>
    <n v="3170.27"/>
    <x v="0"/>
    <n v="0.9"/>
    <n v="2853.2429999999999"/>
    <n v="317.02699999999993"/>
    <n v="6"/>
    <n v="3170.27"/>
    <x v="1"/>
  </r>
  <r>
    <s v="PAT-3895"/>
    <s v="Brian Thomas"/>
    <n v="32"/>
    <x v="0"/>
    <x v="511"/>
    <d v="2024-08-21T00:00:00"/>
    <x v="2"/>
    <x v="21"/>
    <n v="6978.9"/>
    <x v="1"/>
    <n v="0.9"/>
    <n v="6281.01"/>
    <n v="697.88999999999976"/>
    <n v="7"/>
    <n v="0"/>
    <x v="2"/>
  </r>
  <r>
    <s v="PAT-3896"/>
    <s v="Sandra Lewis"/>
    <n v="63"/>
    <x v="1"/>
    <x v="307"/>
    <d v="2024-08-29T00:00:00"/>
    <x v="2"/>
    <x v="16"/>
    <n v="4868.46"/>
    <x v="0"/>
    <n v="0.8"/>
    <n v="3894.768"/>
    <n v="973.69199999999978"/>
    <n v="6"/>
    <n v="4868.46"/>
    <x v="0"/>
  </r>
  <r>
    <s v="PAT-3897"/>
    <s v="Mark Martinez"/>
    <n v="58"/>
    <x v="0"/>
    <x v="257"/>
    <d v="2025-07-09T00:00:00"/>
    <x v="4"/>
    <x v="11"/>
    <n v="34197.050000000003"/>
    <x v="0"/>
    <n v="0.8"/>
    <n v="27357.640000000003"/>
    <n v="6839.4099999999989"/>
    <n v="14"/>
    <n v="34197.050000000003"/>
    <x v="0"/>
  </r>
  <r>
    <s v="PAT-3898"/>
    <s v="Barbara Johnson"/>
    <n v="60"/>
    <x v="1"/>
    <x v="6"/>
    <d v="2024-02-10T00:00:00"/>
    <x v="2"/>
    <x v="21"/>
    <n v="647.75"/>
    <x v="0"/>
    <n v="0.8"/>
    <n v="518.20000000000005"/>
    <n v="129.54999999999998"/>
    <n v="1"/>
    <n v="647.75"/>
    <x v="0"/>
  </r>
  <r>
    <s v="PAT-3899"/>
    <s v="Jessica Williams"/>
    <n v="5"/>
    <x v="1"/>
    <x v="512"/>
    <d v="2024-06-23T00:00:00"/>
    <x v="3"/>
    <x v="24"/>
    <n v="3913.66"/>
    <x v="1"/>
    <n v="0.9"/>
    <n v="3522.2939999999999"/>
    <n v="391.36599999999987"/>
    <n v="5"/>
    <n v="0"/>
    <x v="4"/>
  </r>
  <r>
    <s v="PAT-3900"/>
    <s v="Christopher Perez"/>
    <n v="8"/>
    <x v="0"/>
    <x v="156"/>
    <d v="2025-03-06T00:00:00"/>
    <x v="3"/>
    <x v="23"/>
    <n v="8364.6200000000008"/>
    <x v="0"/>
    <n v="1"/>
    <n v="8364.6200000000008"/>
    <n v="0"/>
    <n v="5"/>
    <n v="8364.6200000000008"/>
    <x v="4"/>
  </r>
  <r>
    <s v="PAT-3901"/>
    <s v="Betty Lewis"/>
    <n v="8"/>
    <x v="1"/>
    <x v="513"/>
    <d v="2025-12-01T00:00:00"/>
    <x v="3"/>
    <x v="24"/>
    <n v="750.94"/>
    <x v="1"/>
    <n v="0.6"/>
    <n v="450.56400000000002"/>
    <n v="300.37600000000003"/>
    <n v="1"/>
    <n v="0"/>
    <x v="4"/>
  </r>
  <r>
    <s v="PAT-3902"/>
    <s v="Nancy Clark"/>
    <n v="21"/>
    <x v="1"/>
    <x v="514"/>
    <d v="2025-09-16T00:00:00"/>
    <x v="1"/>
    <x v="31"/>
    <n v="1602.23"/>
    <x v="0"/>
    <n v="0.9"/>
    <n v="1442.0070000000001"/>
    <n v="160.22299999999996"/>
    <n v="1"/>
    <n v="1602.23"/>
    <x v="2"/>
  </r>
  <r>
    <s v="PAT-3903"/>
    <s v="Richard Lee"/>
    <n v="26"/>
    <x v="0"/>
    <x v="242"/>
    <d v="2025-12-31T00:00:00"/>
    <x v="4"/>
    <x v="14"/>
    <n v="3905.3"/>
    <x v="1"/>
    <n v="0.8"/>
    <n v="3124.2400000000002"/>
    <n v="781.05999999999983"/>
    <n v="3"/>
    <n v="0"/>
    <x v="2"/>
  </r>
  <r>
    <s v="PAT-3904"/>
    <s v="Anthony Garcia"/>
    <n v="56"/>
    <x v="0"/>
    <x v="198"/>
    <d v="2025-03-04T00:00:00"/>
    <x v="0"/>
    <x v="6"/>
    <n v="10882.46"/>
    <x v="2"/>
    <n v="0"/>
    <n v="0"/>
    <n v="10882.46"/>
    <n v="4"/>
    <n v="0"/>
    <x v="0"/>
  </r>
  <r>
    <s v="PAT-3905"/>
    <s v="Karen Brown"/>
    <n v="40"/>
    <x v="1"/>
    <x v="467"/>
    <d v="2025-12-05T00:00:00"/>
    <x v="2"/>
    <x v="10"/>
    <n v="3645.87"/>
    <x v="1"/>
    <n v="0.7"/>
    <n v="2552.1089999999999"/>
    <n v="1093.7610000000002"/>
    <n v="4"/>
    <n v="0"/>
    <x v="3"/>
  </r>
  <r>
    <s v="PAT-3906"/>
    <s v="Emily Perez"/>
    <n v="40"/>
    <x v="1"/>
    <x v="128"/>
    <d v="2025-04-13T00:00:00"/>
    <x v="2"/>
    <x v="33"/>
    <n v="5871.8"/>
    <x v="2"/>
    <n v="0.9"/>
    <n v="5284.62"/>
    <n v="587.17999999999984"/>
    <n v="6"/>
    <n v="0"/>
    <x v="3"/>
  </r>
  <r>
    <s v="PAT-3907"/>
    <s v="Barbara Smith"/>
    <n v="34"/>
    <x v="1"/>
    <x v="89"/>
    <d v="2024-02-07T00:00:00"/>
    <x v="2"/>
    <x v="21"/>
    <n v="2527.5100000000002"/>
    <x v="1"/>
    <n v="0.6"/>
    <n v="1516.5060000000001"/>
    <n v="1011.0040000000001"/>
    <n v="3"/>
    <n v="0"/>
    <x v="2"/>
  </r>
  <r>
    <s v="PAT-3908"/>
    <s v="Lisa Brown"/>
    <n v="40"/>
    <x v="1"/>
    <x v="511"/>
    <d v="2024-08-20T00:00:00"/>
    <x v="0"/>
    <x v="0"/>
    <n v="11311.32"/>
    <x v="1"/>
    <n v="1"/>
    <n v="11311.32"/>
    <n v="0"/>
    <n v="6"/>
    <n v="0"/>
    <x v="3"/>
  </r>
  <r>
    <s v="PAT-3909"/>
    <s v="Brian White"/>
    <n v="35"/>
    <x v="0"/>
    <x v="251"/>
    <d v="2024-06-10T00:00:00"/>
    <x v="4"/>
    <x v="26"/>
    <n v="14294.04"/>
    <x v="0"/>
    <n v="0.8"/>
    <n v="11435.232000000002"/>
    <n v="2858.8079999999995"/>
    <n v="6"/>
    <n v="14294.04"/>
    <x v="2"/>
  </r>
  <r>
    <s v="PAT-3910"/>
    <s v="Nancy White"/>
    <n v="15"/>
    <x v="1"/>
    <x v="155"/>
    <d v="2025-06-25T00:00:00"/>
    <x v="3"/>
    <x v="23"/>
    <n v="3325.48"/>
    <x v="0"/>
    <n v="0.6"/>
    <n v="1995.288"/>
    <n v="1330.192"/>
    <n v="2"/>
    <n v="3325.48"/>
    <x v="4"/>
  </r>
  <r>
    <s v="PAT-3911"/>
    <s v="Brian White"/>
    <n v="84"/>
    <x v="0"/>
    <x v="515"/>
    <d v="2025-12-21T00:00:00"/>
    <x v="2"/>
    <x v="8"/>
    <n v="583.35"/>
    <x v="2"/>
    <n v="0.5"/>
    <n v="291.67500000000001"/>
    <n v="291.67500000000001"/>
    <n v="1"/>
    <n v="0"/>
    <x v="1"/>
  </r>
  <r>
    <s v="PAT-3912"/>
    <s v="Matthew Ramirez"/>
    <n v="54"/>
    <x v="0"/>
    <x v="516"/>
    <d v="2024-02-06T00:00:00"/>
    <x v="2"/>
    <x v="33"/>
    <n v="6644.98"/>
    <x v="0"/>
    <n v="0.9"/>
    <n v="5980.482"/>
    <n v="664.49799999999982"/>
    <n v="6"/>
    <n v="6644.98"/>
    <x v="0"/>
  </r>
  <r>
    <s v="PAT-3913"/>
    <s v="Kevin Miller"/>
    <n v="75"/>
    <x v="0"/>
    <x v="312"/>
    <d v="2025-07-06T00:00:00"/>
    <x v="4"/>
    <x v="11"/>
    <n v="6709.11"/>
    <x v="2"/>
    <n v="0.8"/>
    <n v="5367.2880000000005"/>
    <n v="1341.8219999999997"/>
    <n v="4"/>
    <n v="0"/>
    <x v="1"/>
  </r>
  <r>
    <s v="PAT-3914"/>
    <s v="Kenneth Rodriguez"/>
    <n v="32"/>
    <x v="0"/>
    <x v="291"/>
    <d v="2024-04-07T00:00:00"/>
    <x v="5"/>
    <x v="28"/>
    <n v="7216.27"/>
    <x v="1"/>
    <n v="0.8"/>
    <n v="5773.0160000000005"/>
    <n v="1443.2539999999997"/>
    <n v="4"/>
    <n v="0"/>
    <x v="2"/>
  </r>
  <r>
    <s v="PAT-3915"/>
    <s v="Matthew Young"/>
    <n v="45"/>
    <x v="0"/>
    <x v="34"/>
    <d v="2025-03-30T00:00:00"/>
    <x v="5"/>
    <x v="34"/>
    <n v="13906.96"/>
    <x v="0"/>
    <n v="0.8"/>
    <n v="11125.567999999999"/>
    <n v="2781.3919999999994"/>
    <n v="9"/>
    <n v="13906.96"/>
    <x v="3"/>
  </r>
  <r>
    <s v="PAT-3916"/>
    <s v="Thomas Lopez"/>
    <n v="68"/>
    <x v="0"/>
    <x v="35"/>
    <d v="2025-08-19T00:00:00"/>
    <x v="4"/>
    <x v="18"/>
    <n v="19370.95"/>
    <x v="1"/>
    <n v="0.7"/>
    <n v="13559.664999999999"/>
    <n v="5811.2850000000008"/>
    <n v="10"/>
    <n v="0"/>
    <x v="1"/>
  </r>
  <r>
    <s v="PAT-3917"/>
    <s v="Ashley Johnson"/>
    <n v="42"/>
    <x v="1"/>
    <x v="487"/>
    <d v="2024-06-16T00:00:00"/>
    <x v="2"/>
    <x v="10"/>
    <n v="4618.17"/>
    <x v="2"/>
    <n v="0.5"/>
    <n v="2309.085"/>
    <n v="2309.085"/>
    <n v="7"/>
    <n v="0"/>
    <x v="3"/>
  </r>
  <r>
    <s v="PAT-3918"/>
    <s v="Brian Clark"/>
    <n v="35"/>
    <x v="0"/>
    <x v="361"/>
    <d v="2025-01-07T00:00:00"/>
    <x v="2"/>
    <x v="10"/>
    <n v="4249.75"/>
    <x v="2"/>
    <n v="0.7"/>
    <n v="2974.8249999999998"/>
    <n v="1274.9250000000002"/>
    <n v="3"/>
    <n v="0"/>
    <x v="2"/>
  </r>
  <r>
    <s v="PAT-3919"/>
    <s v="Daniel Perez"/>
    <n v="60"/>
    <x v="0"/>
    <x v="294"/>
    <d v="2024-01-06T00:00:00"/>
    <x v="0"/>
    <x v="0"/>
    <n v="6532.53"/>
    <x v="2"/>
    <n v="0.8"/>
    <n v="5226.0240000000003"/>
    <n v="1306.5059999999996"/>
    <n v="4"/>
    <n v="0"/>
    <x v="0"/>
  </r>
  <r>
    <s v="PAT-3920"/>
    <s v="Michelle Rodriguez"/>
    <n v="60"/>
    <x v="1"/>
    <x v="463"/>
    <d v="2024-12-07T00:00:00"/>
    <x v="5"/>
    <x v="35"/>
    <n v="5729.57"/>
    <x v="0"/>
    <n v="0.6"/>
    <n v="3437.7419999999997"/>
    <n v="2291.828"/>
    <n v="5"/>
    <n v="5729.57"/>
    <x v="0"/>
  </r>
  <r>
    <s v="PAT-3921"/>
    <s v="Nancy Lee"/>
    <n v="21"/>
    <x v="1"/>
    <x v="517"/>
    <d v="2025-06-07T00:00:00"/>
    <x v="2"/>
    <x v="16"/>
    <n v="2997.87"/>
    <x v="0"/>
    <n v="0.7"/>
    <n v="2098.509"/>
    <n v="899.3610000000001"/>
    <n v="2"/>
    <n v="2997.87"/>
    <x v="2"/>
  </r>
  <r>
    <s v="PAT-3922"/>
    <s v="Thomas Williams"/>
    <n v="54"/>
    <x v="0"/>
    <x v="85"/>
    <d v="2024-11-04T00:00:00"/>
    <x v="2"/>
    <x v="10"/>
    <n v="7526.27"/>
    <x v="0"/>
    <n v="0.8"/>
    <n v="6021.0160000000005"/>
    <n v="1505.2539999999997"/>
    <n v="6"/>
    <n v="7526.27"/>
    <x v="0"/>
  </r>
  <r>
    <s v="PAT-3923"/>
    <s v="Emily Harris"/>
    <n v="29"/>
    <x v="1"/>
    <x v="105"/>
    <d v="2024-06-19T00:00:00"/>
    <x v="1"/>
    <x v="2"/>
    <n v="4378.0200000000004"/>
    <x v="0"/>
    <n v="0.8"/>
    <n v="3502.4160000000006"/>
    <n v="875.60399999999993"/>
    <n v="2"/>
    <n v="4378.0200000000004"/>
    <x v="2"/>
  </r>
  <r>
    <s v="PAT-3924"/>
    <s v="Linda Smith"/>
    <n v="36"/>
    <x v="1"/>
    <x v="301"/>
    <d v="2024-10-25T00:00:00"/>
    <x v="4"/>
    <x v="27"/>
    <n v="17866.580000000002"/>
    <x v="2"/>
    <n v="0.9"/>
    <n v="16079.922000000002"/>
    <n v="1786.6579999999997"/>
    <n v="8"/>
    <n v="0"/>
    <x v="3"/>
  </r>
  <r>
    <s v="PAT-3925"/>
    <s v="Michael White"/>
    <n v="79"/>
    <x v="0"/>
    <x v="518"/>
    <d v="2025-03-22T00:00:00"/>
    <x v="0"/>
    <x v="20"/>
    <n v="5517.67"/>
    <x v="0"/>
    <n v="0.9"/>
    <n v="4965.9030000000002"/>
    <n v="551.76699999999994"/>
    <n v="4"/>
    <n v="5517.67"/>
    <x v="1"/>
  </r>
  <r>
    <s v="PAT-3926"/>
    <s v="Lisa Williams"/>
    <n v="48"/>
    <x v="1"/>
    <x v="480"/>
    <d v="2024-10-12T00:00:00"/>
    <x v="5"/>
    <x v="30"/>
    <n v="14595.77"/>
    <x v="0"/>
    <n v="0.8"/>
    <n v="11676.616000000002"/>
    <n v="2919.1539999999995"/>
    <n v="7"/>
    <n v="14595.77"/>
    <x v="3"/>
  </r>
  <r>
    <s v="PAT-3927"/>
    <s v="Daniel Ramirez"/>
    <n v="42"/>
    <x v="0"/>
    <x v="175"/>
    <d v="2024-12-01T00:00:00"/>
    <x v="2"/>
    <x v="8"/>
    <n v="543.05999999999995"/>
    <x v="0"/>
    <n v="0.5"/>
    <n v="271.52999999999997"/>
    <n v="271.52999999999997"/>
    <n v="1"/>
    <n v="543.05999999999995"/>
    <x v="3"/>
  </r>
  <r>
    <s v="PAT-3928"/>
    <s v="Linda Hernandez"/>
    <n v="25"/>
    <x v="1"/>
    <x v="469"/>
    <d v="2024-01-30T00:00:00"/>
    <x v="4"/>
    <x v="13"/>
    <n v="5082.0600000000004"/>
    <x v="1"/>
    <n v="0"/>
    <n v="0"/>
    <n v="5082.0600000000004"/>
    <n v="5"/>
    <n v="0"/>
    <x v="2"/>
  </r>
  <r>
    <s v="PAT-3929"/>
    <s v="Joshua Jackson"/>
    <n v="38"/>
    <x v="0"/>
    <x v="331"/>
    <d v="2025-07-10T00:00:00"/>
    <x v="1"/>
    <x v="31"/>
    <n v="2871.13"/>
    <x v="0"/>
    <n v="0.9"/>
    <n v="2584.0170000000003"/>
    <n v="287.11299999999994"/>
    <n v="2"/>
    <n v="2871.13"/>
    <x v="3"/>
  </r>
  <r>
    <s v="PAT-3930"/>
    <s v="Sandra Anderson"/>
    <n v="67"/>
    <x v="1"/>
    <x v="38"/>
    <d v="2024-12-19T00:00:00"/>
    <x v="4"/>
    <x v="18"/>
    <n v="4425.1499999999996"/>
    <x v="0"/>
    <n v="0.7"/>
    <n v="3097.6049999999996"/>
    <n v="1327.5450000000001"/>
    <n v="2"/>
    <n v="4425.1499999999996"/>
    <x v="1"/>
  </r>
  <r>
    <s v="PAT-3931"/>
    <s v="Jennifer Walker"/>
    <n v="28"/>
    <x v="1"/>
    <x v="361"/>
    <d v="2025-01-05T00:00:00"/>
    <x v="1"/>
    <x v="7"/>
    <n v="1958.56"/>
    <x v="0"/>
    <n v="0.8"/>
    <n v="1566.848"/>
    <n v="391.71199999999988"/>
    <n v="1"/>
    <n v="1958.56"/>
    <x v="2"/>
  </r>
  <r>
    <s v="PAT-3932"/>
    <s v="Mark Johnson"/>
    <n v="68"/>
    <x v="0"/>
    <x v="262"/>
    <d v="2025-04-22T00:00:00"/>
    <x v="2"/>
    <x v="8"/>
    <n v="2268.81"/>
    <x v="0"/>
    <n v="0.8"/>
    <n v="1815.048"/>
    <n v="453.76199999999989"/>
    <n v="2"/>
    <n v="2268.81"/>
    <x v="1"/>
  </r>
  <r>
    <s v="PAT-3933"/>
    <s v="James Jones"/>
    <n v="41"/>
    <x v="0"/>
    <x v="82"/>
    <d v="2025-09-04T00:00:00"/>
    <x v="5"/>
    <x v="12"/>
    <n v="22621.47"/>
    <x v="2"/>
    <n v="0.7"/>
    <n v="15835.029"/>
    <n v="6786.4410000000016"/>
    <n v="9"/>
    <n v="0"/>
    <x v="3"/>
  </r>
  <r>
    <s v="PAT-3934"/>
    <s v="Mary Young"/>
    <n v="46"/>
    <x v="1"/>
    <x v="190"/>
    <d v="2025-11-20T00:00:00"/>
    <x v="4"/>
    <x v="14"/>
    <n v="3972.12"/>
    <x v="1"/>
    <n v="0.5"/>
    <n v="1986.06"/>
    <n v="1986.06"/>
    <n v="3"/>
    <n v="0"/>
    <x v="3"/>
  </r>
  <r>
    <s v="PAT-3935"/>
    <s v="Susan Brown"/>
    <n v="16"/>
    <x v="1"/>
    <x v="130"/>
    <d v="2024-05-03T00:00:00"/>
    <x v="3"/>
    <x v="9"/>
    <n v="921.67"/>
    <x v="0"/>
    <n v="1"/>
    <n v="921.67"/>
    <n v="0"/>
    <n v="1"/>
    <n v="921.67"/>
    <x v="4"/>
  </r>
  <r>
    <s v="PAT-3936"/>
    <s v="Elizabeth Rodriguez"/>
    <n v="48"/>
    <x v="1"/>
    <x v="519"/>
    <d v="2024-08-01T00:00:00"/>
    <x v="1"/>
    <x v="15"/>
    <n v="3783.41"/>
    <x v="1"/>
    <n v="0.7"/>
    <n v="2648.3869999999997"/>
    <n v="1135.0230000000001"/>
    <n v="2"/>
    <n v="0"/>
    <x v="3"/>
  </r>
  <r>
    <s v="PAT-3937"/>
    <s v="David Anderson"/>
    <n v="31"/>
    <x v="0"/>
    <x v="61"/>
    <d v="2025-01-27T00:00:00"/>
    <x v="1"/>
    <x v="31"/>
    <n v="3007.82"/>
    <x v="1"/>
    <n v="0.6"/>
    <n v="1804.692"/>
    <n v="1203.1280000000002"/>
    <n v="3"/>
    <n v="0"/>
    <x v="2"/>
  </r>
  <r>
    <s v="PAT-3938"/>
    <s v="Michael Jones"/>
    <n v="12"/>
    <x v="0"/>
    <x v="520"/>
    <d v="2025-03-22T00:00:00"/>
    <x v="3"/>
    <x v="37"/>
    <n v="6547.21"/>
    <x v="2"/>
    <n v="0.8"/>
    <n v="5237.768"/>
    <n v="1309.4419999999998"/>
    <n v="5"/>
    <n v="0"/>
    <x v="4"/>
  </r>
  <r>
    <s v="PAT-3939"/>
    <s v="Richard Wilson"/>
    <n v="79"/>
    <x v="0"/>
    <x v="164"/>
    <d v="2025-08-28T00:00:00"/>
    <x v="5"/>
    <x v="30"/>
    <n v="6760.22"/>
    <x v="0"/>
    <n v="0.9"/>
    <n v="6084.1980000000003"/>
    <n v="676.02199999999982"/>
    <n v="6"/>
    <n v="6760.22"/>
    <x v="1"/>
  </r>
  <r>
    <s v="PAT-3940"/>
    <s v="Robert Perez"/>
    <n v="48"/>
    <x v="0"/>
    <x v="288"/>
    <d v="2025-04-24T00:00:00"/>
    <x v="2"/>
    <x v="16"/>
    <n v="3865.55"/>
    <x v="0"/>
    <n v="0.8"/>
    <n v="3092.4400000000005"/>
    <n v="773.1099999999999"/>
    <n v="3"/>
    <n v="3865.55"/>
    <x v="3"/>
  </r>
  <r>
    <s v="PAT-3941"/>
    <s v="Steven Young"/>
    <n v="43"/>
    <x v="0"/>
    <x v="484"/>
    <d v="2024-04-07T00:00:00"/>
    <x v="2"/>
    <x v="10"/>
    <n v="5921.38"/>
    <x v="0"/>
    <n v="0.7"/>
    <n v="4144.9659999999994"/>
    <n v="1776.4140000000002"/>
    <n v="6"/>
    <n v="5921.38"/>
    <x v="3"/>
  </r>
  <r>
    <s v="PAT-3942"/>
    <s v="Christopher Lewis"/>
    <n v="34"/>
    <x v="0"/>
    <x v="8"/>
    <d v="2024-11-20T00:00:00"/>
    <x v="4"/>
    <x v="18"/>
    <n v="11299.89"/>
    <x v="1"/>
    <n v="1"/>
    <n v="11299.89"/>
    <n v="0"/>
    <n v="9"/>
    <n v="0"/>
    <x v="2"/>
  </r>
  <r>
    <s v="PAT-3943"/>
    <s v="Barbara Jackson"/>
    <n v="15"/>
    <x v="1"/>
    <x v="90"/>
    <d v="2024-04-14T00:00:00"/>
    <x v="3"/>
    <x v="23"/>
    <n v="4061.69"/>
    <x v="0"/>
    <n v="0.6"/>
    <n v="2437.0140000000001"/>
    <n v="1624.6760000000002"/>
    <n v="4"/>
    <n v="4061.69"/>
    <x v="4"/>
  </r>
  <r>
    <s v="PAT-3944"/>
    <s v="Ashley White"/>
    <n v="9"/>
    <x v="1"/>
    <x v="249"/>
    <d v="2024-08-16T00:00:00"/>
    <x v="3"/>
    <x v="23"/>
    <n v="1243.02"/>
    <x v="0"/>
    <n v="0.8"/>
    <n v="994.41600000000005"/>
    <n v="248.60399999999993"/>
    <n v="1"/>
    <n v="1243.02"/>
    <x v="4"/>
  </r>
  <r>
    <s v="PAT-3945"/>
    <s v="Andrew Ramirez"/>
    <n v="70"/>
    <x v="0"/>
    <x v="283"/>
    <d v="2024-11-03T00:00:00"/>
    <x v="4"/>
    <x v="18"/>
    <n v="18613.240000000002"/>
    <x v="0"/>
    <n v="0.8"/>
    <n v="14890.592000000002"/>
    <n v="3722.6479999999997"/>
    <n v="7"/>
    <n v="18613.240000000002"/>
    <x v="1"/>
  </r>
  <r>
    <s v="PAT-3946"/>
    <s v="Betty Robinson"/>
    <n v="31"/>
    <x v="1"/>
    <x v="521"/>
    <d v="2024-08-25T00:00:00"/>
    <x v="5"/>
    <x v="12"/>
    <n v="4541.45"/>
    <x v="0"/>
    <n v="0.6"/>
    <n v="2724.87"/>
    <n v="1816.58"/>
    <n v="3"/>
    <n v="4541.45"/>
    <x v="2"/>
  </r>
  <r>
    <s v="PAT-3947"/>
    <s v="Kevin Harris"/>
    <n v="65"/>
    <x v="0"/>
    <x v="10"/>
    <d v="2025-11-11T00:00:00"/>
    <x v="0"/>
    <x v="1"/>
    <n v="14897.36"/>
    <x v="0"/>
    <n v="1"/>
    <n v="14897.36"/>
    <n v="0"/>
    <n v="5"/>
    <n v="14897.36"/>
    <x v="0"/>
  </r>
  <r>
    <s v="PAT-3948"/>
    <s v="Kenneth Lewis"/>
    <n v="60"/>
    <x v="0"/>
    <x v="329"/>
    <d v="2025-04-19T00:00:00"/>
    <x v="4"/>
    <x v="18"/>
    <n v="5557.59"/>
    <x v="2"/>
    <n v="0.7"/>
    <n v="3890.3129999999996"/>
    <n v="1667.2770000000003"/>
    <n v="5"/>
    <n v="0"/>
    <x v="0"/>
  </r>
  <r>
    <s v="PAT-3949"/>
    <s v="Carol Jones"/>
    <n v="59"/>
    <x v="1"/>
    <x v="6"/>
    <d v="2024-02-15T00:00:00"/>
    <x v="0"/>
    <x v="29"/>
    <n v="14526.47"/>
    <x v="0"/>
    <n v="0.9"/>
    <n v="13073.823"/>
    <n v="1452.6469999999997"/>
    <n v="6"/>
    <n v="14526.47"/>
    <x v="0"/>
  </r>
  <r>
    <s v="PAT-3950"/>
    <s v="Lisa Lopez"/>
    <n v="33"/>
    <x v="1"/>
    <x v="477"/>
    <d v="2025-11-07T00:00:00"/>
    <x v="2"/>
    <x v="33"/>
    <n v="6592.81"/>
    <x v="1"/>
    <n v="0.8"/>
    <n v="5274.2480000000005"/>
    <n v="1318.5619999999999"/>
    <n v="7"/>
    <n v="0"/>
    <x v="2"/>
  </r>
  <r>
    <s v="PAT-3951"/>
    <s v="Elizabeth Johnson"/>
    <n v="45"/>
    <x v="1"/>
    <x v="356"/>
    <d v="2024-11-06T00:00:00"/>
    <x v="2"/>
    <x v="21"/>
    <n v="5811.71"/>
    <x v="0"/>
    <n v="0.8"/>
    <n v="4649.3680000000004"/>
    <n v="1162.3419999999996"/>
    <n v="4"/>
    <n v="5811.71"/>
    <x v="3"/>
  </r>
  <r>
    <s v="PAT-3952"/>
    <s v="Barbara Harris"/>
    <n v="72"/>
    <x v="1"/>
    <x v="234"/>
    <d v="2024-07-20T00:00:00"/>
    <x v="4"/>
    <x v="27"/>
    <n v="15420.8"/>
    <x v="2"/>
    <n v="0.6"/>
    <n v="9252.48"/>
    <n v="6168.32"/>
    <n v="7"/>
    <n v="0"/>
    <x v="1"/>
  </r>
  <r>
    <s v="PAT-3953"/>
    <s v="Nancy Jones"/>
    <n v="31"/>
    <x v="1"/>
    <x v="383"/>
    <d v="2024-02-16T00:00:00"/>
    <x v="4"/>
    <x v="13"/>
    <n v="28706.36"/>
    <x v="0"/>
    <n v="0.8"/>
    <n v="22965.088000000003"/>
    <n v="5741.271999999999"/>
    <n v="11"/>
    <n v="28706.36"/>
    <x v="2"/>
  </r>
  <r>
    <s v="PAT-3954"/>
    <s v="Sandra Thompson"/>
    <n v="78"/>
    <x v="1"/>
    <x v="522"/>
    <d v="2024-06-25T00:00:00"/>
    <x v="0"/>
    <x v="0"/>
    <n v="10923.17"/>
    <x v="1"/>
    <n v="0.9"/>
    <n v="9830.853000000001"/>
    <n v="1092.3169999999998"/>
    <n v="6"/>
    <n v="0"/>
    <x v="1"/>
  </r>
  <r>
    <s v="PAT-3955"/>
    <s v="Jennifer Clark"/>
    <n v="52"/>
    <x v="1"/>
    <x v="523"/>
    <d v="2025-02-17T00:00:00"/>
    <x v="5"/>
    <x v="28"/>
    <n v="20558.88"/>
    <x v="0"/>
    <n v="0.9"/>
    <n v="18502.992000000002"/>
    <n v="2055.8879999999995"/>
    <n v="9"/>
    <n v="20558.88"/>
    <x v="0"/>
  </r>
  <r>
    <s v="PAT-3956"/>
    <s v="Kenneth Wilson"/>
    <n v="41"/>
    <x v="0"/>
    <x v="524"/>
    <d v="2025-11-28T00:00:00"/>
    <x v="2"/>
    <x v="5"/>
    <n v="759.83"/>
    <x v="0"/>
    <n v="0.7"/>
    <n v="531.88099999999997"/>
    <n v="227.94900000000004"/>
    <n v="1"/>
    <n v="759.83"/>
    <x v="3"/>
  </r>
  <r>
    <s v="PAT-3957"/>
    <s v="Sandra Anderson"/>
    <n v="32"/>
    <x v="1"/>
    <x v="152"/>
    <d v="2025-02-11T00:00:00"/>
    <x v="1"/>
    <x v="15"/>
    <n v="2012.29"/>
    <x v="0"/>
    <n v="0.7"/>
    <n v="1408.6029999999998"/>
    <n v="603.68700000000013"/>
    <n v="2"/>
    <n v="2012.29"/>
    <x v="2"/>
  </r>
  <r>
    <s v="PAT-3958"/>
    <s v="Paul Walker"/>
    <n v="39"/>
    <x v="0"/>
    <x v="507"/>
    <d v="2024-06-13T00:00:00"/>
    <x v="4"/>
    <x v="11"/>
    <n v="16229.56"/>
    <x v="0"/>
    <n v="0.9"/>
    <n v="14606.603999999999"/>
    <n v="1622.9559999999997"/>
    <n v="6"/>
    <n v="16229.56"/>
    <x v="3"/>
  </r>
  <r>
    <s v="PAT-3959"/>
    <s v="Joseph Jackson"/>
    <n v="52"/>
    <x v="0"/>
    <x v="377"/>
    <d v="2024-01-19T00:00:00"/>
    <x v="2"/>
    <x v="5"/>
    <n v="8478.0300000000007"/>
    <x v="2"/>
    <n v="0.7"/>
    <n v="5934.6210000000001"/>
    <n v="2543.4090000000006"/>
    <n v="6"/>
    <n v="0"/>
    <x v="0"/>
  </r>
  <r>
    <s v="PAT-3960"/>
    <s v="Michelle Robinson"/>
    <n v="58"/>
    <x v="1"/>
    <x v="336"/>
    <d v="2024-07-07T00:00:00"/>
    <x v="5"/>
    <x v="28"/>
    <n v="23264.42"/>
    <x v="0"/>
    <n v="0.6"/>
    <n v="13958.651999999998"/>
    <n v="9305.768"/>
    <n v="10"/>
    <n v="23264.42"/>
    <x v="0"/>
  </r>
  <r>
    <s v="PAT-3961"/>
    <s v="Betty Garcia"/>
    <n v="82"/>
    <x v="1"/>
    <x v="400"/>
    <d v="2025-01-01T00:00:00"/>
    <x v="2"/>
    <x v="10"/>
    <n v="4983.18"/>
    <x v="2"/>
    <n v="0.8"/>
    <n v="3986.5440000000003"/>
    <n v="996.63599999999985"/>
    <n v="4"/>
    <n v="0"/>
    <x v="1"/>
  </r>
  <r>
    <s v="PAT-3962"/>
    <s v="Jennifer Martin"/>
    <n v="47"/>
    <x v="1"/>
    <x v="525"/>
    <d v="2025-03-25T00:00:00"/>
    <x v="2"/>
    <x v="10"/>
    <n v="7613.41"/>
    <x v="0"/>
    <n v="0.9"/>
    <n v="6852.0690000000004"/>
    <n v="761.34099999999978"/>
    <n v="6"/>
    <n v="7613.41"/>
    <x v="3"/>
  </r>
  <r>
    <s v="PAT-3963"/>
    <s v="William Jones"/>
    <n v="37"/>
    <x v="0"/>
    <x v="2"/>
    <d v="2024-04-06T00:00:00"/>
    <x v="1"/>
    <x v="32"/>
    <n v="2431.81"/>
    <x v="0"/>
    <n v="0.8"/>
    <n v="1945.4480000000001"/>
    <n v="486.36199999999985"/>
    <n v="1"/>
    <n v="2431.81"/>
    <x v="3"/>
  </r>
  <r>
    <s v="PAT-3964"/>
    <s v="Mary Jackson"/>
    <n v="61"/>
    <x v="1"/>
    <x v="107"/>
    <d v="2024-07-07T00:00:00"/>
    <x v="2"/>
    <x v="33"/>
    <n v="1073.8900000000001"/>
    <x v="1"/>
    <n v="0.7"/>
    <n v="751.72300000000007"/>
    <n v="322.16700000000009"/>
    <n v="2"/>
    <n v="0"/>
    <x v="0"/>
  </r>
  <r>
    <s v="PAT-3965"/>
    <s v="Emily Ramirez"/>
    <n v="70"/>
    <x v="1"/>
    <x v="169"/>
    <d v="2025-04-01T00:00:00"/>
    <x v="0"/>
    <x v="19"/>
    <n v="19302.61"/>
    <x v="2"/>
    <n v="1"/>
    <n v="19302.61"/>
    <n v="0"/>
    <n v="10"/>
    <n v="0"/>
    <x v="1"/>
  </r>
  <r>
    <s v="PAT-3966"/>
    <s v="Kimberly Anderson"/>
    <n v="68"/>
    <x v="1"/>
    <x v="351"/>
    <d v="2025-05-20T00:00:00"/>
    <x v="2"/>
    <x v="21"/>
    <n v="4686.18"/>
    <x v="0"/>
    <n v="1"/>
    <n v="4686.18"/>
    <n v="0"/>
    <n v="6"/>
    <n v="4686.18"/>
    <x v="1"/>
  </r>
  <r>
    <s v="PAT-3967"/>
    <s v="Karen Martin"/>
    <n v="7"/>
    <x v="1"/>
    <x v="394"/>
    <d v="2025-09-26T00:00:00"/>
    <x v="3"/>
    <x v="37"/>
    <n v="3301.8"/>
    <x v="2"/>
    <n v="0.7"/>
    <n v="2311.2599999999998"/>
    <n v="990.54000000000019"/>
    <n v="3"/>
    <n v="0"/>
    <x v="4"/>
  </r>
  <r>
    <s v="PAT-3968"/>
    <s v="Jessica Hernandez"/>
    <n v="57"/>
    <x v="1"/>
    <x v="369"/>
    <d v="2024-11-03T00:00:00"/>
    <x v="4"/>
    <x v="11"/>
    <n v="5980.45"/>
    <x v="0"/>
    <n v="1"/>
    <n v="5980.45"/>
    <n v="0"/>
    <n v="3"/>
    <n v="5980.45"/>
    <x v="0"/>
  </r>
  <r>
    <s v="PAT-3969"/>
    <s v="Donna Thomas"/>
    <n v="34"/>
    <x v="1"/>
    <x v="359"/>
    <d v="2025-10-06T00:00:00"/>
    <x v="2"/>
    <x v="10"/>
    <n v="5054.45"/>
    <x v="1"/>
    <n v="0.6"/>
    <n v="3032.6699999999996"/>
    <n v="2021.78"/>
    <n v="4"/>
    <n v="0"/>
    <x v="2"/>
  </r>
  <r>
    <s v="PAT-3970"/>
    <s v="Thomas Brown"/>
    <n v="52"/>
    <x v="0"/>
    <x v="526"/>
    <d v="2025-08-09T00:00:00"/>
    <x v="1"/>
    <x v="31"/>
    <n v="3102.51"/>
    <x v="0"/>
    <n v="0.9"/>
    <n v="2792.2590000000005"/>
    <n v="310.25099999999998"/>
    <n v="2"/>
    <n v="3102.51"/>
    <x v="0"/>
  </r>
  <r>
    <s v="PAT-3971"/>
    <s v="Joshua Taylor"/>
    <n v="66"/>
    <x v="0"/>
    <x v="93"/>
    <d v="2025-01-19T00:00:00"/>
    <x v="4"/>
    <x v="18"/>
    <n v="7068.71"/>
    <x v="2"/>
    <n v="0.7"/>
    <n v="4948.0969999999998"/>
    <n v="2120.6130000000003"/>
    <n v="7"/>
    <n v="0"/>
    <x v="1"/>
  </r>
  <r>
    <s v="PAT-3972"/>
    <s v="James Garcia"/>
    <n v="59"/>
    <x v="0"/>
    <x v="316"/>
    <d v="2024-03-29T00:00:00"/>
    <x v="4"/>
    <x v="13"/>
    <n v="7018.51"/>
    <x v="0"/>
    <n v="0.8"/>
    <n v="5614.8080000000009"/>
    <n v="1403.7019999999998"/>
    <n v="4"/>
    <n v="7018.51"/>
    <x v="0"/>
  </r>
  <r>
    <s v="PAT-3973"/>
    <s v="Donna Young"/>
    <n v="17"/>
    <x v="1"/>
    <x v="118"/>
    <d v="2024-11-30T00:00:00"/>
    <x v="3"/>
    <x v="23"/>
    <n v="895.4"/>
    <x v="1"/>
    <n v="0.7"/>
    <n v="626.78"/>
    <n v="268.62"/>
    <n v="1"/>
    <n v="0"/>
    <x v="4"/>
  </r>
  <r>
    <s v="PAT-3974"/>
    <s v="Linda Lewis"/>
    <n v="25"/>
    <x v="1"/>
    <x v="227"/>
    <d v="2025-07-20T00:00:00"/>
    <x v="2"/>
    <x v="8"/>
    <n v="5857.12"/>
    <x v="0"/>
    <n v="0.7"/>
    <n v="4099.9839999999995"/>
    <n v="1757.1360000000002"/>
    <n v="5"/>
    <n v="5857.12"/>
    <x v="2"/>
  </r>
  <r>
    <s v="PAT-3975"/>
    <s v="Emily Walker"/>
    <n v="22"/>
    <x v="1"/>
    <x v="394"/>
    <d v="2025-09-26T00:00:00"/>
    <x v="1"/>
    <x v="15"/>
    <n v="5212.57"/>
    <x v="0"/>
    <n v="0.9"/>
    <n v="4691.3130000000001"/>
    <n v="521.25699999999983"/>
    <n v="3"/>
    <n v="5212.57"/>
    <x v="2"/>
  </r>
  <r>
    <s v="PAT-3976"/>
    <s v="Kenneth Garcia"/>
    <n v="73"/>
    <x v="0"/>
    <x v="400"/>
    <d v="2025-01-04T00:00:00"/>
    <x v="0"/>
    <x v="29"/>
    <n v="18256.04"/>
    <x v="1"/>
    <n v="0.7"/>
    <n v="12779.227999999999"/>
    <n v="5476.8120000000008"/>
    <n v="7"/>
    <n v="0"/>
    <x v="1"/>
  </r>
  <r>
    <s v="PAT-3977"/>
    <s v="Carol Thomas"/>
    <n v="40"/>
    <x v="1"/>
    <x v="51"/>
    <d v="2025-04-14T00:00:00"/>
    <x v="0"/>
    <x v="0"/>
    <n v="22950.92"/>
    <x v="0"/>
    <n v="0.8"/>
    <n v="18360.736000000001"/>
    <n v="4590.1839999999984"/>
    <n v="10"/>
    <n v="22950.92"/>
    <x v="3"/>
  </r>
  <r>
    <s v="PAT-3978"/>
    <s v="Andrew Young"/>
    <n v="65"/>
    <x v="0"/>
    <x v="18"/>
    <d v="2024-12-30T00:00:00"/>
    <x v="2"/>
    <x v="21"/>
    <n v="9174.23"/>
    <x v="2"/>
    <n v="0.6"/>
    <n v="5504.5379999999996"/>
    <n v="3669.692"/>
    <n v="7"/>
    <n v="0"/>
    <x v="0"/>
  </r>
  <r>
    <s v="PAT-3979"/>
    <s v="Donna Williams"/>
    <n v="18"/>
    <x v="1"/>
    <x v="438"/>
    <d v="2025-09-03T00:00:00"/>
    <x v="2"/>
    <x v="33"/>
    <n v="2502.7600000000002"/>
    <x v="0"/>
    <n v="0.8"/>
    <n v="2002.2080000000003"/>
    <n v="500.55199999999991"/>
    <n v="3"/>
    <n v="2502.7600000000002"/>
    <x v="2"/>
  </r>
  <r>
    <s v="PAT-3980"/>
    <s v="Daniel Jackson"/>
    <n v="43"/>
    <x v="0"/>
    <x v="232"/>
    <d v="2025-10-02T00:00:00"/>
    <x v="1"/>
    <x v="31"/>
    <n v="6927.74"/>
    <x v="0"/>
    <n v="0.9"/>
    <n v="6234.9660000000003"/>
    <n v="692.77399999999977"/>
    <n v="3"/>
    <n v="6927.74"/>
    <x v="3"/>
  </r>
  <r>
    <s v="PAT-3981"/>
    <s v="Sarah Robinson"/>
    <n v="54"/>
    <x v="1"/>
    <x v="495"/>
    <d v="2024-09-09T00:00:00"/>
    <x v="2"/>
    <x v="8"/>
    <n v="4663.1899999999996"/>
    <x v="0"/>
    <n v="0.8"/>
    <n v="3730.5519999999997"/>
    <n v="932.63799999999969"/>
    <n v="5"/>
    <n v="4663.1899999999996"/>
    <x v="0"/>
  </r>
  <r>
    <s v="PAT-3982"/>
    <s v="Susan Lewis"/>
    <n v="55"/>
    <x v="1"/>
    <x v="369"/>
    <d v="2024-11-08T00:00:00"/>
    <x v="4"/>
    <x v="11"/>
    <n v="20435.29"/>
    <x v="2"/>
    <n v="0.7"/>
    <n v="14304.703"/>
    <n v="6130.5870000000014"/>
    <n v="8"/>
    <n v="0"/>
    <x v="0"/>
  </r>
  <r>
    <s v="PAT-3983"/>
    <s v="Mary Martin"/>
    <n v="81"/>
    <x v="1"/>
    <x v="527"/>
    <d v="2025-12-20T00:00:00"/>
    <x v="2"/>
    <x v="8"/>
    <n v="1278.31"/>
    <x v="1"/>
    <n v="0.6"/>
    <n v="766.98599999999999"/>
    <n v="511.32400000000001"/>
    <n v="2"/>
    <n v="0"/>
    <x v="1"/>
  </r>
  <r>
    <s v="PAT-3984"/>
    <s v="Richard Perez"/>
    <n v="44"/>
    <x v="0"/>
    <x v="330"/>
    <d v="2025-01-21T00:00:00"/>
    <x v="1"/>
    <x v="32"/>
    <n v="6875.52"/>
    <x v="0"/>
    <n v="0.7"/>
    <n v="4812.8639999999996"/>
    <n v="2062.6560000000004"/>
    <n v="3"/>
    <n v="6875.52"/>
    <x v="3"/>
  </r>
  <r>
    <s v="PAT-3985"/>
    <s v="Elizabeth Lopez"/>
    <n v="57"/>
    <x v="1"/>
    <x v="114"/>
    <d v="2024-08-17T00:00:00"/>
    <x v="5"/>
    <x v="28"/>
    <n v="14894.02"/>
    <x v="0"/>
    <n v="0.6"/>
    <n v="8936.4120000000003"/>
    <n v="5957.6080000000002"/>
    <n v="6"/>
    <n v="14894.02"/>
    <x v="0"/>
  </r>
  <r>
    <s v="PAT-3986"/>
    <s v="Sandra Lewis"/>
    <n v="55"/>
    <x v="1"/>
    <x v="528"/>
    <d v="2025-06-17T00:00:00"/>
    <x v="4"/>
    <x v="27"/>
    <n v="16185.6"/>
    <x v="0"/>
    <n v="1"/>
    <n v="16185.6"/>
    <n v="0"/>
    <n v="8"/>
    <n v="16185.6"/>
    <x v="0"/>
  </r>
  <r>
    <s v="PAT-3987"/>
    <s v="Sarah Garcia"/>
    <n v="64"/>
    <x v="1"/>
    <x v="143"/>
    <d v="2024-09-09T00:00:00"/>
    <x v="2"/>
    <x v="5"/>
    <n v="4017.98"/>
    <x v="0"/>
    <n v="1"/>
    <n v="4017.98"/>
    <n v="0"/>
    <n v="4"/>
    <n v="4017.98"/>
    <x v="0"/>
  </r>
  <r>
    <s v="PAT-3988"/>
    <s v="Dorothy Thompson"/>
    <n v="1"/>
    <x v="1"/>
    <x v="529"/>
    <d v="2025-08-26T00:00:00"/>
    <x v="3"/>
    <x v="24"/>
    <n v="1260.77"/>
    <x v="1"/>
    <n v="0.8"/>
    <n v="1008.616"/>
    <n v="252.15399999999994"/>
    <n v="2"/>
    <n v="0"/>
    <x v="4"/>
  </r>
  <r>
    <s v="PAT-3989"/>
    <s v="Barbara Rodriguez"/>
    <n v="14"/>
    <x v="1"/>
    <x v="394"/>
    <d v="2025-09-25T00:00:00"/>
    <x v="3"/>
    <x v="37"/>
    <n v="2626.23"/>
    <x v="1"/>
    <n v="0.6"/>
    <n v="1575.7380000000001"/>
    <n v="1050.492"/>
    <n v="2"/>
    <n v="0"/>
    <x v="4"/>
  </r>
  <r>
    <s v="PAT-3990"/>
    <s v="Steven White"/>
    <n v="14"/>
    <x v="0"/>
    <x v="258"/>
    <d v="2024-07-12T00:00:00"/>
    <x v="3"/>
    <x v="22"/>
    <n v="713.28"/>
    <x v="2"/>
    <n v="0"/>
    <n v="0"/>
    <n v="713.28"/>
    <n v="1"/>
    <n v="0"/>
    <x v="4"/>
  </r>
  <r>
    <s v="PAT-3991"/>
    <s v="Dorothy Taylor"/>
    <n v="64"/>
    <x v="1"/>
    <x v="283"/>
    <d v="2024-10-31T00:00:00"/>
    <x v="2"/>
    <x v="10"/>
    <n v="5579.15"/>
    <x v="1"/>
    <n v="0.6"/>
    <n v="3347.49"/>
    <n v="2231.66"/>
    <n v="4"/>
    <n v="0"/>
    <x v="0"/>
  </r>
  <r>
    <s v="PAT-3992"/>
    <s v="Barbara Lee"/>
    <n v="2"/>
    <x v="1"/>
    <x v="467"/>
    <d v="2025-12-04T00:00:00"/>
    <x v="3"/>
    <x v="25"/>
    <n v="3033.99"/>
    <x v="0"/>
    <n v="0.8"/>
    <n v="2427.192"/>
    <n v="606.79799999999977"/>
    <n v="3"/>
    <n v="3033.99"/>
    <x v="4"/>
  </r>
  <r>
    <s v="PAT-3993"/>
    <s v="Thomas Miller"/>
    <n v="43"/>
    <x v="0"/>
    <x v="374"/>
    <d v="2025-11-22T00:00:00"/>
    <x v="1"/>
    <x v="2"/>
    <n v="4133.9399999999996"/>
    <x v="0"/>
    <n v="0.5"/>
    <n v="2066.9699999999998"/>
    <n v="2066.9699999999998"/>
    <n v="2"/>
    <n v="4133.9399999999996"/>
    <x v="3"/>
  </r>
  <r>
    <s v="PAT-3994"/>
    <s v="Joseph Hernandez"/>
    <n v="10"/>
    <x v="0"/>
    <x v="124"/>
    <d v="2025-07-07T00:00:00"/>
    <x v="3"/>
    <x v="37"/>
    <n v="4374.76"/>
    <x v="2"/>
    <n v="0.9"/>
    <n v="3937.2840000000001"/>
    <n v="437.47599999999994"/>
    <n v="4"/>
    <n v="0"/>
    <x v="4"/>
  </r>
  <r>
    <s v="PAT-3995"/>
    <s v="Kimberly Lopez"/>
    <n v="51"/>
    <x v="1"/>
    <x v="530"/>
    <d v="2024-10-06T00:00:00"/>
    <x v="0"/>
    <x v="0"/>
    <n v="7839.78"/>
    <x v="1"/>
    <n v="0.9"/>
    <n v="7055.8019999999997"/>
    <n v="783.97799999999984"/>
    <n v="3"/>
    <n v="0"/>
    <x v="0"/>
  </r>
  <r>
    <s v="PAT-3996"/>
    <s v="Joshua Miller"/>
    <n v="58"/>
    <x v="0"/>
    <x v="528"/>
    <d v="2025-06-13T00:00:00"/>
    <x v="0"/>
    <x v="19"/>
    <n v="10021"/>
    <x v="0"/>
    <n v="0.9"/>
    <n v="9018.9"/>
    <n v="1002.0999999999998"/>
    <n v="4"/>
    <n v="10021"/>
    <x v="0"/>
  </r>
  <r>
    <s v="PAT-3997"/>
    <s v="Daniel White"/>
    <n v="75"/>
    <x v="0"/>
    <x v="476"/>
    <d v="2025-10-14T00:00:00"/>
    <x v="2"/>
    <x v="33"/>
    <n v="6377.65"/>
    <x v="1"/>
    <n v="0.6"/>
    <n v="3826.5899999999997"/>
    <n v="2551.06"/>
    <n v="5"/>
    <n v="0"/>
    <x v="1"/>
  </r>
  <r>
    <s v="PAT-3998"/>
    <s v="Ashley Brown"/>
    <n v="32"/>
    <x v="1"/>
    <x v="531"/>
    <d v="2025-04-23T00:00:00"/>
    <x v="1"/>
    <x v="32"/>
    <n v="1020.62"/>
    <x v="0"/>
    <n v="0.6"/>
    <n v="612.37199999999996"/>
    <n v="408.24800000000005"/>
    <n v="1"/>
    <n v="1020.62"/>
    <x v="2"/>
  </r>
  <r>
    <s v="PAT-3999"/>
    <s v="Robert Ramirez"/>
    <n v="56"/>
    <x v="0"/>
    <x v="532"/>
    <d v="2025-08-09T00:00:00"/>
    <x v="1"/>
    <x v="15"/>
    <n v="2315.06"/>
    <x v="0"/>
    <n v="0.7"/>
    <n v="1620.5419999999999"/>
    <n v="694.51800000000014"/>
    <n v="1"/>
    <n v="2315.06"/>
    <x v="0"/>
  </r>
  <r>
    <s v="PAT-4000"/>
    <s v="Jennifer Ramirez"/>
    <n v="18"/>
    <x v="1"/>
    <x v="472"/>
    <d v="2024-03-02T00:00:00"/>
    <x v="2"/>
    <x v="16"/>
    <n v="2235.16"/>
    <x v="2"/>
    <n v="1"/>
    <n v="2235.16"/>
    <n v="0"/>
    <n v="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6BB04-7F72-4021-BDEA-1990257AE07C}"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2" rowHeaderCaption="Payment Status">
  <location ref="G7:H10" firstHeaderRow="1" firstDataRow="1" firstDataCol="1"/>
  <pivotFields count="18">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5" showAll="0"/>
    <pivotField axis="axisRow" showAll="0">
      <items count="4">
        <item x="0"/>
        <item x="2"/>
        <item x="1"/>
        <item t="default"/>
      </items>
    </pivotField>
    <pivotField numFmtId="9" showAll="0"/>
    <pivotField numFmtId="165" showAll="0"/>
    <pivotField numFmtId="165" showAll="0"/>
    <pivotField showAll="0"/>
    <pivotField numFmtId="165" showAll="0"/>
    <pivotField showAll="0" sortType="descending"/>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x v="2"/>
    </i>
  </rowItems>
  <colItems count="1">
    <i/>
  </colItems>
  <dataFields count="1">
    <dataField name="Perc. of Amt" fld="8" showDataAs="percentOfTotal" baseField="9" baseItem="0" numFmtId="10"/>
  </dataFields>
  <formats count="3">
    <format dxfId="2">
      <pivotArea collapsedLevelsAreSubtotals="1" fieldPosition="0">
        <references count="1">
          <reference field="9" count="1">
            <x v="0"/>
          </reference>
        </references>
      </pivotArea>
    </format>
    <format dxfId="1">
      <pivotArea collapsedLevelsAreSubtotals="1" fieldPosition="0">
        <references count="1">
          <reference field="9" count="1">
            <x v="1"/>
          </reference>
        </references>
      </pivotArea>
    </format>
    <format dxfId="0">
      <pivotArea collapsedLevelsAreSubtotals="1" fieldPosition="0">
        <references count="1">
          <reference field="9" count="1">
            <x v="2"/>
          </reference>
        </references>
      </pivotArea>
    </format>
  </formats>
  <chartFormats count="9">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9" count="1" selected="0">
            <x v="0"/>
          </reference>
        </references>
      </pivotArea>
    </chartFormat>
    <chartFormat chart="21" format="7">
      <pivotArea type="data" outline="0" fieldPosition="0">
        <references count="2">
          <reference field="4294967294" count="1" selected="0">
            <x v="0"/>
          </reference>
          <reference field="9" count="1" selected="0">
            <x v="1"/>
          </reference>
        </references>
      </pivotArea>
    </chartFormat>
    <chartFormat chart="21" format="8">
      <pivotArea type="data" outline="0" fieldPosition="0">
        <references count="2">
          <reference field="4294967294" count="1" selected="0">
            <x v="0"/>
          </reference>
          <reference field="9" count="1" selected="0">
            <x v="2"/>
          </reference>
        </references>
      </pivotArea>
    </chartFormat>
    <chartFormat chart="25"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9" count="1" selected="0">
            <x v="0"/>
          </reference>
        </references>
      </pivotArea>
    </chartFormat>
    <chartFormat chart="31" format="7">
      <pivotArea type="data" outline="0" fieldPosition="0">
        <references count="2">
          <reference field="4294967294" count="1" selected="0">
            <x v="0"/>
          </reference>
          <reference field="9" count="1" selected="0">
            <x v="1"/>
          </reference>
        </references>
      </pivotArea>
    </chartFormat>
    <chartFormat chart="31"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EB6B2-3D51-4AF9-82BF-1B326B523115}"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7" rowHeaderCaption="Age Group">
  <location ref="D7:E12" firstHeaderRow="1" firstDataRow="1" firstDataCol="1"/>
  <pivotFields count="18">
    <pivotField dataField="1"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numFmtId="165" showAll="0"/>
    <pivotField axis="axisRow" showAll="0" sortType="ascending">
      <items count="6">
        <item x="4"/>
        <item x="0"/>
        <item x="3"/>
        <item x="2"/>
        <item x="1"/>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5">
    <i>
      <x/>
    </i>
    <i>
      <x v="3"/>
    </i>
    <i>
      <x v="2"/>
    </i>
    <i>
      <x v="4"/>
    </i>
    <i>
      <x v="1"/>
    </i>
  </rowItems>
  <colItems count="1">
    <i/>
  </colItems>
  <dataFields count="1">
    <dataField name="No Of Patients" fld="0" subtotal="count" baseField="6" baseItem="0"/>
  </dataFields>
  <chartFormats count="30">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5" count="1" selected="0">
            <x v="0"/>
          </reference>
        </references>
      </pivotArea>
    </chartFormat>
    <chartFormat chart="13" format="10">
      <pivotArea type="data" outline="0" fieldPosition="0">
        <references count="2">
          <reference field="4294967294" count="1" selected="0">
            <x v="0"/>
          </reference>
          <reference field="15" count="1" selected="0">
            <x v="3"/>
          </reference>
        </references>
      </pivotArea>
    </chartFormat>
    <chartFormat chart="13" format="11">
      <pivotArea type="data" outline="0" fieldPosition="0">
        <references count="2">
          <reference field="4294967294" count="1" selected="0">
            <x v="0"/>
          </reference>
          <reference field="15" count="1" selected="0">
            <x v="2"/>
          </reference>
        </references>
      </pivotArea>
    </chartFormat>
    <chartFormat chart="13" format="12">
      <pivotArea type="data" outline="0" fieldPosition="0">
        <references count="2">
          <reference field="4294967294" count="1" selected="0">
            <x v="0"/>
          </reference>
          <reference field="15" count="1" selected="0">
            <x v="4"/>
          </reference>
        </references>
      </pivotArea>
    </chartFormat>
    <chartFormat chart="13" format="13">
      <pivotArea type="data" outline="0" fieldPosition="0">
        <references count="2">
          <reference field="4294967294" count="1" selected="0">
            <x v="0"/>
          </reference>
          <reference field="15"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15" count="1" selected="0">
            <x v="0"/>
          </reference>
        </references>
      </pivotArea>
    </chartFormat>
    <chartFormat chart="14" format="16">
      <pivotArea type="data" outline="0" fieldPosition="0">
        <references count="2">
          <reference field="4294967294" count="1" selected="0">
            <x v="0"/>
          </reference>
          <reference field="15" count="1" selected="0">
            <x v="3"/>
          </reference>
        </references>
      </pivotArea>
    </chartFormat>
    <chartFormat chart="14" format="17">
      <pivotArea type="data" outline="0" fieldPosition="0">
        <references count="2">
          <reference field="4294967294" count="1" selected="0">
            <x v="0"/>
          </reference>
          <reference field="15" count="1" selected="0">
            <x v="2"/>
          </reference>
        </references>
      </pivotArea>
    </chartFormat>
    <chartFormat chart="14" format="18">
      <pivotArea type="data" outline="0" fieldPosition="0">
        <references count="2">
          <reference field="4294967294" count="1" selected="0">
            <x v="0"/>
          </reference>
          <reference field="15" count="1" selected="0">
            <x v="4"/>
          </reference>
        </references>
      </pivotArea>
    </chartFormat>
    <chartFormat chart="14" format="19">
      <pivotArea type="data" outline="0" fieldPosition="0">
        <references count="2">
          <reference field="4294967294" count="1" selected="0">
            <x v="0"/>
          </reference>
          <reference field="15" count="1" selected="0">
            <x v="1"/>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15" count="1" selected="0">
            <x v="0"/>
          </reference>
        </references>
      </pivotArea>
    </chartFormat>
    <chartFormat chart="15" format="16">
      <pivotArea type="data" outline="0" fieldPosition="0">
        <references count="2">
          <reference field="4294967294" count="1" selected="0">
            <x v="0"/>
          </reference>
          <reference field="15" count="1" selected="0">
            <x v="3"/>
          </reference>
        </references>
      </pivotArea>
    </chartFormat>
    <chartFormat chart="15" format="17">
      <pivotArea type="data" outline="0" fieldPosition="0">
        <references count="2">
          <reference field="4294967294" count="1" selected="0">
            <x v="0"/>
          </reference>
          <reference field="15" count="1" selected="0">
            <x v="2"/>
          </reference>
        </references>
      </pivotArea>
    </chartFormat>
    <chartFormat chart="15" format="18">
      <pivotArea type="data" outline="0" fieldPosition="0">
        <references count="2">
          <reference field="4294967294" count="1" selected="0">
            <x v="0"/>
          </reference>
          <reference field="15" count="1" selected="0">
            <x v="4"/>
          </reference>
        </references>
      </pivotArea>
    </chartFormat>
    <chartFormat chart="15" format="19">
      <pivotArea type="data" outline="0" fieldPosition="0">
        <references count="2">
          <reference field="4294967294" count="1" selected="0">
            <x v="0"/>
          </reference>
          <reference field="15" count="1" selected="0">
            <x v="1"/>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5" count="1" selected="0">
            <x v="0"/>
          </reference>
        </references>
      </pivotArea>
    </chartFormat>
    <chartFormat chart="12" format="22">
      <pivotArea type="data" outline="0" fieldPosition="0">
        <references count="2">
          <reference field="4294967294" count="1" selected="0">
            <x v="0"/>
          </reference>
          <reference field="15" count="1" selected="0">
            <x v="3"/>
          </reference>
        </references>
      </pivotArea>
    </chartFormat>
    <chartFormat chart="12" format="23">
      <pivotArea type="data" outline="0" fieldPosition="0">
        <references count="2">
          <reference field="4294967294" count="1" selected="0">
            <x v="0"/>
          </reference>
          <reference field="15" count="1" selected="0">
            <x v="2"/>
          </reference>
        </references>
      </pivotArea>
    </chartFormat>
    <chartFormat chart="12" format="24">
      <pivotArea type="data" outline="0" fieldPosition="0">
        <references count="2">
          <reference field="4294967294" count="1" selected="0">
            <x v="0"/>
          </reference>
          <reference field="15" count="1" selected="0">
            <x v="4"/>
          </reference>
        </references>
      </pivotArea>
    </chartFormat>
    <chartFormat chart="12" format="25">
      <pivotArea type="data" outline="0" fieldPosition="0">
        <references count="2">
          <reference field="4294967294" count="1" selected="0">
            <x v="0"/>
          </reference>
          <reference field="15"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15" count="1" selected="0">
            <x v="0"/>
          </reference>
        </references>
      </pivotArea>
    </chartFormat>
    <chartFormat chart="16" format="16">
      <pivotArea type="data" outline="0" fieldPosition="0">
        <references count="2">
          <reference field="4294967294" count="1" selected="0">
            <x v="0"/>
          </reference>
          <reference field="15" count="1" selected="0">
            <x v="3"/>
          </reference>
        </references>
      </pivotArea>
    </chartFormat>
    <chartFormat chart="16" format="17">
      <pivotArea type="data" outline="0" fieldPosition="0">
        <references count="2">
          <reference field="4294967294" count="1" selected="0">
            <x v="0"/>
          </reference>
          <reference field="15" count="1" selected="0">
            <x v="2"/>
          </reference>
        </references>
      </pivotArea>
    </chartFormat>
    <chartFormat chart="16" format="18">
      <pivotArea type="data" outline="0" fieldPosition="0">
        <references count="2">
          <reference field="4294967294" count="1" selected="0">
            <x v="0"/>
          </reference>
          <reference field="15" count="1" selected="0">
            <x v="4"/>
          </reference>
        </references>
      </pivotArea>
    </chartFormat>
    <chartFormat chart="16" format="19">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497EC-D245-4E07-B483-1F7AE8ED826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8">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5" showAll="0"/>
    <pivotField showAll="0"/>
    <pivotField numFmtId="9" showAll="0"/>
    <pivotField numFmtId="165" showAll="0"/>
    <pivotField numFmtId="165" showAll="0"/>
    <pivotField showAll="0"/>
    <pivotField numFmtId="165"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 Total Bill Amt" fld="8" baseField="0" baseItem="6"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E8002-98D6-4945-8D2B-5BC4E827641C}"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rowHeaderCaption="Departments">
  <location ref="A7:B13" firstHeaderRow="1" firstDataRow="1" firstDataCol="1"/>
  <pivotFields count="18">
    <pivotField dataField="1"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axis="axisRow" showAll="0" sortType="a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numFmtId="165"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6">
    <i>
      <x v="3"/>
    </i>
    <i>
      <x/>
    </i>
    <i>
      <x v="5"/>
    </i>
    <i>
      <x v="4"/>
    </i>
    <i>
      <x v="1"/>
    </i>
    <i>
      <x v="2"/>
    </i>
  </rowItems>
  <colItems count="1">
    <i/>
  </colItems>
  <dataFields count="1">
    <dataField name="No Of Patients" fld="0" subtotal="count" baseField="6" baseItem="0"/>
  </dataFields>
  <chartFormats count="7">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5"/>
          </reference>
        </references>
      </pivotArea>
    </chartFormat>
    <chartFormat chart="18" format="4">
      <pivotArea type="data" outline="0" fieldPosition="0">
        <references count="2">
          <reference field="4294967294" count="1" selected="0">
            <x v="0"/>
          </reference>
          <reference field="6" count="1" selected="0">
            <x v="4"/>
          </reference>
        </references>
      </pivotArea>
    </chartFormat>
    <chartFormat chart="18" format="5">
      <pivotArea type="data" outline="0" fieldPosition="0">
        <references count="2">
          <reference field="4294967294" count="1" selected="0">
            <x v="0"/>
          </reference>
          <reference field="6" count="1" selected="0">
            <x v="3"/>
          </reference>
        </references>
      </pivotArea>
    </chartFormat>
    <chartFormat chart="18" format="6">
      <pivotArea type="data" outline="0" fieldPosition="0">
        <references count="2">
          <reference field="4294967294" count="1" selected="0">
            <x v="0"/>
          </reference>
          <reference field="6" count="1" selected="0">
            <x v="2"/>
          </reference>
        </references>
      </pivotArea>
    </chartFormat>
    <chartFormat chart="18" format="7">
      <pivotArea type="data" outline="0" fieldPosition="0">
        <references count="2">
          <reference field="4294967294" count="1" selected="0">
            <x v="0"/>
          </reference>
          <reference field="6" count="1" selected="0">
            <x v="1"/>
          </reference>
        </references>
      </pivotArea>
    </chartFormat>
    <chartFormat chart="18"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03858-5043-4F97-A9A9-191C7A7AF60D}"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rowHeaderCaption="Gender">
  <location ref="A16:B18" firstHeaderRow="1" firstDataRow="1" firstDataCol="1"/>
  <pivotFields count="18">
    <pivotField dataField="1" showAll="0"/>
    <pivotField showAll="0"/>
    <pivotField showAll="0"/>
    <pivotField axis="axisRow" showAll="0">
      <items count="3">
        <item x="1"/>
        <item x="0"/>
        <item t="default"/>
      </items>
    </pivotField>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numFmtId="165" showAll="0"/>
    <pivotField showAll="0" sortType="descending"/>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perc." fld="0" subtotal="count" showDataAs="percentOfTotal" baseField="3" baseItem="0" numFmtId="10"/>
  </dataFields>
  <formats count="2">
    <format dxfId="5">
      <pivotArea collapsedLevelsAreSubtotals="1" fieldPosition="0">
        <references count="1">
          <reference field="3" count="1">
            <x v="0"/>
          </reference>
        </references>
      </pivotArea>
    </format>
    <format dxfId="4">
      <pivotArea collapsedLevelsAreSubtotals="1" fieldPosition="0">
        <references count="1">
          <reference field="3" count="1">
            <x v="1"/>
          </reference>
        </references>
      </pivotArea>
    </format>
  </formats>
  <chartFormats count="3">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B2EDFC-1055-4DEA-9A09-14562F9900A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8">
    <pivotField dataField="1" showAll="0"/>
    <pivotField showAll="0"/>
    <pivotField showAll="0"/>
    <pivotField showAll="0"/>
    <pivotField numFmtId="164" showAll="0">
      <items count="15">
        <item h="1" x="0"/>
        <item x="1"/>
        <item h="1" x="2"/>
        <item h="1" x="3"/>
        <item h="1" x="4"/>
        <item h="1" x="5"/>
        <item h="1" x="6"/>
        <item h="1" x="7"/>
        <item h="1" x="8"/>
        <item h="1" x="9"/>
        <item h="1" x="10"/>
        <item h="1" x="11"/>
        <item h="1" x="12"/>
        <item h="1"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numFmtId="165"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No. of Patients" fld="0" subtotal="count" baseField="0" baseItem="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5FC34F-4535-4933-8FBA-A0EDDC4E050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8">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dataField="1" numFmtId="165"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aid Amt" fld="14" baseField="0" baseItem="6"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6EC341-B0E4-444D-9C64-41CEB4D7367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8">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dataField="1" showAll="0"/>
    <pivotField numFmtId="165"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Length Of Stay" fld="13" subtotal="average" baseField="0" baseItem="6"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07E267-9E5C-42BA-BCF6-3E5243ADB7B1}"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rowHeaderCaption="Admission Date">
  <location ref="G15:H49" firstHeaderRow="1" firstDataRow="1" firstDataCol="1"/>
  <pivotFields count="18">
    <pivotField dataField="1" showAll="0"/>
    <pivotField showAll="0"/>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numFmtId="9" showAll="0"/>
    <pivotField numFmtId="165" showAll="0"/>
    <pivotField numFmtId="165" showAll="0"/>
    <pivotField showAll="0"/>
    <pivotField numFmtId="165" showAll="0"/>
    <pivotField showAll="0" sortType="descending"/>
    <pivotField axis="axisRow" showAll="0">
      <items count="7">
        <item sd="0" x="0"/>
        <item x="1"/>
        <item x="2"/>
        <item x="3"/>
        <item x="4"/>
        <item sd="0" x="5"/>
        <item t="default"/>
      </items>
    </pivotField>
    <pivotField axis="axisRow" showAll="0">
      <items count="5">
        <item sd="0" x="0"/>
        <item x="1"/>
        <item x="2"/>
        <item sd="0" x="3"/>
        <item t="default"/>
      </items>
    </pivotField>
  </pivotFields>
  <rowFields count="3">
    <field x="17"/>
    <field x="16"/>
    <field x="4"/>
  </rowFields>
  <rowItems count="3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rowItems>
  <colItems count="1">
    <i/>
  </colItems>
  <dataFields count="1">
    <dataField name="Count of Patient ID" fld="0" subtotal="count" baseField="17" baseItem="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129437-08CF-410F-8F71-B51BB5CC359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18">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showAll="0"/>
    <pivotField dataField="1" numFmtId="9" showAll="0"/>
    <pivotField numFmtId="165" showAll="0"/>
    <pivotField numFmtId="165" showAll="0"/>
    <pivotField showAll="0"/>
    <pivotField numFmtId="165"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Insurance Coverage(%)" fld="10" subtotal="average" baseField="0" baseItem="6"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1A3E2F0-CE35-4B7F-B6B4-5F37D1CB7936}" sourceName="Department">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505121123">
      <items count="6">
        <i x="0" s="1"/>
        <i x="1"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127B5AB8-A0D1-4F64-B05A-C78AA9479AA8}" sourceName="Diagnosis">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505121123">
      <items count="38">
        <i x="2" s="1"/>
        <i x="14" s="1"/>
        <i x="32" s="1"/>
        <i x="25" s="1"/>
        <i x="8" s="1"/>
        <i x="1" s="1"/>
        <i x="6" s="1"/>
        <i x="22" s="1"/>
        <i x="0" s="1"/>
        <i x="37" s="1"/>
        <i x="15" s="1"/>
        <i x="18" s="1"/>
        <i x="36" s="1"/>
        <i x="3" s="1"/>
        <i x="29" s="1"/>
        <i x="10" s="1"/>
        <i x="5" s="1"/>
        <i x="24" s="1"/>
        <i x="34" s="1"/>
        <i x="4" s="1"/>
        <i x="31" s="1"/>
        <i x="16" s="1"/>
        <i x="19" s="1"/>
        <i x="26" s="1"/>
        <i x="20" s="1"/>
        <i x="13" s="1"/>
        <i x="35" s="1"/>
        <i x="17" s="1"/>
        <i x="12" s="1"/>
        <i x="28" s="1"/>
        <i x="21" s="1"/>
        <i x="11" s="1"/>
        <i x="9" s="1"/>
        <i x="7" s="1"/>
        <i x="27" s="1"/>
        <i x="30" s="1"/>
        <i x="23" s="1"/>
        <i x="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098237C-FDD7-4BA9-B4DD-270D7B16DB65}" sourceName="Years">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505121123">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0CFD98-0CC1-4C5F-9158-28D327E92ACF}" cache="Slicer_Department" caption="Department" style="SlicerStyleDark1" rowHeight="241300"/>
  <slicer name="Diagnosis" xr10:uid="{956DE5DB-7DAC-4DB7-8657-1A5D9A9D0EC1}" cache="Slicer_Diagnosis" caption="Diagnosis" startItem="9" columnCount="3" style="SlicerStyleDark1" rowHeight="241300"/>
  <slicer name="Years" xr10:uid="{59CEC319-927F-4B08-8758-939A8D563A8E}" cache="Slicer_Years" caption="Years"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9B8D-847D-4324-8534-BD250918212F}">
  <dimension ref="A3:I49"/>
  <sheetViews>
    <sheetView workbookViewId="0">
      <selection activeCell="A3" sqref="A3"/>
    </sheetView>
  </sheetViews>
  <sheetFormatPr defaultRowHeight="14.25"/>
  <cols>
    <col min="1" max="1" width="9.625" bestFit="1" customWidth="1"/>
    <col min="2" max="2" width="5.375" bestFit="1" customWidth="1"/>
    <col min="3" max="3" width="13.125" bestFit="1" customWidth="1"/>
    <col min="4" max="4" width="12.375" bestFit="1" customWidth="1"/>
    <col min="5" max="5" width="13.875" bestFit="1" customWidth="1"/>
    <col min="7" max="7" width="16.625" bestFit="1" customWidth="1"/>
    <col min="8" max="8" width="11.5" bestFit="1" customWidth="1"/>
    <col min="9" max="9" width="32.5" bestFit="1" customWidth="1"/>
    <col min="10" max="10" width="26" bestFit="1" customWidth="1"/>
  </cols>
  <sheetData>
    <row r="3" spans="1:9">
      <c r="A3" t="s">
        <v>1781</v>
      </c>
      <c r="C3" t="s">
        <v>1750</v>
      </c>
      <c r="E3" t="s">
        <v>1751</v>
      </c>
      <c r="G3" t="s">
        <v>1752</v>
      </c>
      <c r="I3" t="s">
        <v>1753</v>
      </c>
    </row>
    <row r="4" spans="1:9">
      <c r="A4" s="9">
        <v>1000</v>
      </c>
      <c r="C4" s="3">
        <v>8053143.4400000013</v>
      </c>
      <c r="E4" s="3">
        <v>4568527.3199999956</v>
      </c>
      <c r="G4" s="10">
        <v>4.8090000000000002</v>
      </c>
      <c r="I4" s="11">
        <v>0.74859999999999782</v>
      </c>
    </row>
    <row r="5" spans="1:9">
      <c r="A5" s="14">
        <f>GETPIVOTDATA("Patient ID",$A$3)</f>
        <v>1000</v>
      </c>
      <c r="C5" s="15">
        <f>GETPIVOTDATA("Total Bill Amount",$C$3)</f>
        <v>8053143.4400000013</v>
      </c>
      <c r="E5" s="3">
        <f>GETPIVOTDATA("Paid Amount",$E$3)</f>
        <v>4568527.3199999956</v>
      </c>
      <c r="G5" s="10">
        <f>GETPIVOTDATA("Average Length Of Stay",$G$3)</f>
        <v>4.8090000000000002</v>
      </c>
      <c r="I5" s="11">
        <f>GETPIVOTDATA("Insurance Coverage",$I$3)</f>
        <v>0.74859999999999782</v>
      </c>
    </row>
    <row r="7" spans="1:9">
      <c r="A7" s="6" t="s">
        <v>1754</v>
      </c>
      <c r="B7" t="s">
        <v>1749</v>
      </c>
      <c r="D7" s="6" t="s">
        <v>1759</v>
      </c>
      <c r="E7" t="s">
        <v>1749</v>
      </c>
      <c r="G7" s="6" t="s">
        <v>9</v>
      </c>
      <c r="H7" t="s">
        <v>1760</v>
      </c>
    </row>
    <row r="8" spans="1:9">
      <c r="A8" s="7" t="s">
        <v>70</v>
      </c>
      <c r="B8" s="8">
        <v>94</v>
      </c>
      <c r="D8" s="7" t="s">
        <v>1783</v>
      </c>
      <c r="E8" s="8">
        <v>153</v>
      </c>
      <c r="G8" s="7" t="s">
        <v>15</v>
      </c>
      <c r="H8" s="11">
        <v>0.56729739809527069</v>
      </c>
    </row>
    <row r="9" spans="1:9">
      <c r="A9" s="7" t="s">
        <v>13</v>
      </c>
      <c r="B9" s="8">
        <v>152</v>
      </c>
      <c r="D9" s="7" t="s">
        <v>1758</v>
      </c>
      <c r="E9" s="8">
        <v>170</v>
      </c>
      <c r="G9" s="7" t="s">
        <v>25</v>
      </c>
      <c r="H9" s="11">
        <v>0.1740723595009008</v>
      </c>
    </row>
    <row r="10" spans="1:9">
      <c r="A10" s="7" t="s">
        <v>49</v>
      </c>
      <c r="B10" s="8">
        <v>153</v>
      </c>
      <c r="D10" s="7" t="s">
        <v>1756</v>
      </c>
      <c r="E10" s="8">
        <v>210</v>
      </c>
      <c r="G10" s="7" t="s">
        <v>20</v>
      </c>
      <c r="H10" s="11">
        <v>0.25863024240382854</v>
      </c>
    </row>
    <row r="11" spans="1:9">
      <c r="A11" s="7" t="s">
        <v>60</v>
      </c>
      <c r="B11" s="8">
        <v>159</v>
      </c>
      <c r="D11" s="7" t="s">
        <v>1755</v>
      </c>
      <c r="E11" s="8">
        <v>232</v>
      </c>
    </row>
    <row r="12" spans="1:9">
      <c r="A12" s="7" t="s">
        <v>23</v>
      </c>
      <c r="B12" s="8">
        <v>190</v>
      </c>
      <c r="D12" s="7" t="s">
        <v>1757</v>
      </c>
      <c r="E12" s="8">
        <v>235</v>
      </c>
    </row>
    <row r="13" spans="1:9">
      <c r="A13" s="7" t="s">
        <v>31</v>
      </c>
      <c r="B13" s="8">
        <v>252</v>
      </c>
    </row>
    <row r="15" spans="1:9">
      <c r="G15" s="6" t="s">
        <v>4</v>
      </c>
      <c r="H15" t="s">
        <v>1764</v>
      </c>
    </row>
    <row r="16" spans="1:9">
      <c r="A16" s="6" t="s">
        <v>3</v>
      </c>
      <c r="B16" t="s">
        <v>1761</v>
      </c>
      <c r="G16" s="7" t="s">
        <v>1762</v>
      </c>
      <c r="H16" s="8">
        <v>508</v>
      </c>
    </row>
    <row r="17" spans="1:8">
      <c r="A17" s="7" t="s">
        <v>18</v>
      </c>
      <c r="B17" s="11">
        <v>0.51200000000000001</v>
      </c>
      <c r="G17" s="16" t="s">
        <v>1765</v>
      </c>
      <c r="H17" s="8">
        <v>108</v>
      </c>
    </row>
    <row r="18" spans="1:8">
      <c r="A18" s="7" t="s">
        <v>12</v>
      </c>
      <c r="B18" s="11">
        <v>0.48799999999999999</v>
      </c>
      <c r="G18" s="17" t="s">
        <v>1766</v>
      </c>
      <c r="H18" s="8">
        <v>34</v>
      </c>
    </row>
    <row r="19" spans="1:8">
      <c r="G19" s="17" t="s">
        <v>1767</v>
      </c>
      <c r="H19" s="8">
        <v>35</v>
      </c>
    </row>
    <row r="20" spans="1:8">
      <c r="G20" s="17" t="s">
        <v>1768</v>
      </c>
      <c r="H20" s="8">
        <v>39</v>
      </c>
    </row>
    <row r="21" spans="1:8">
      <c r="G21" s="16" t="s">
        <v>1769</v>
      </c>
      <c r="H21" s="8">
        <v>123</v>
      </c>
    </row>
    <row r="22" spans="1:8">
      <c r="G22" s="17" t="s">
        <v>1770</v>
      </c>
      <c r="H22" s="8">
        <v>44</v>
      </c>
    </row>
    <row r="23" spans="1:8">
      <c r="G23" s="17" t="s">
        <v>1771</v>
      </c>
      <c r="H23" s="8">
        <v>39</v>
      </c>
    </row>
    <row r="24" spans="1:8">
      <c r="G24" s="17" t="s">
        <v>1772</v>
      </c>
      <c r="H24" s="8">
        <v>40</v>
      </c>
    </row>
    <row r="25" spans="1:8">
      <c r="G25" s="16" t="s">
        <v>1773</v>
      </c>
      <c r="H25" s="8">
        <v>141</v>
      </c>
    </row>
    <row r="26" spans="1:8">
      <c r="G26" s="17" t="s">
        <v>1774</v>
      </c>
      <c r="H26" s="8">
        <v>51</v>
      </c>
    </row>
    <row r="27" spans="1:8">
      <c r="G27" s="17" t="s">
        <v>1775</v>
      </c>
      <c r="H27" s="8">
        <v>46</v>
      </c>
    </row>
    <row r="28" spans="1:8">
      <c r="G28" s="17" t="s">
        <v>1776</v>
      </c>
      <c r="H28" s="8">
        <v>44</v>
      </c>
    </row>
    <row r="29" spans="1:8">
      <c r="G29" s="16" t="s">
        <v>1777</v>
      </c>
      <c r="H29" s="8">
        <v>136</v>
      </c>
    </row>
    <row r="30" spans="1:8">
      <c r="G30" s="17" t="s">
        <v>1778</v>
      </c>
      <c r="H30" s="8">
        <v>45</v>
      </c>
    </row>
    <row r="31" spans="1:8">
      <c r="G31" s="17" t="s">
        <v>1779</v>
      </c>
      <c r="H31" s="8">
        <v>43</v>
      </c>
    </row>
    <row r="32" spans="1:8">
      <c r="G32" s="17" t="s">
        <v>1780</v>
      </c>
      <c r="H32" s="8">
        <v>48</v>
      </c>
    </row>
    <row r="33" spans="7:8">
      <c r="G33" s="7" t="s">
        <v>1763</v>
      </c>
      <c r="H33" s="8">
        <v>492</v>
      </c>
    </row>
    <row r="34" spans="7:8">
      <c r="G34" s="16" t="s">
        <v>1765</v>
      </c>
      <c r="H34" s="8">
        <v>124</v>
      </c>
    </row>
    <row r="35" spans="7:8">
      <c r="G35" s="17" t="s">
        <v>1766</v>
      </c>
      <c r="H35" s="8">
        <v>51</v>
      </c>
    </row>
    <row r="36" spans="7:8">
      <c r="G36" s="17" t="s">
        <v>1767</v>
      </c>
      <c r="H36" s="8">
        <v>31</v>
      </c>
    </row>
    <row r="37" spans="7:8">
      <c r="G37" s="17" t="s">
        <v>1768</v>
      </c>
      <c r="H37" s="8">
        <v>42</v>
      </c>
    </row>
    <row r="38" spans="7:8">
      <c r="G38" s="16" t="s">
        <v>1769</v>
      </c>
      <c r="H38" s="8">
        <v>117</v>
      </c>
    </row>
    <row r="39" spans="7:8">
      <c r="G39" s="17" t="s">
        <v>1770</v>
      </c>
      <c r="H39" s="8">
        <v>50</v>
      </c>
    </row>
    <row r="40" spans="7:8">
      <c r="G40" s="17" t="s">
        <v>1771</v>
      </c>
      <c r="H40" s="8">
        <v>38</v>
      </c>
    </row>
    <row r="41" spans="7:8">
      <c r="G41" s="17" t="s">
        <v>1772</v>
      </c>
      <c r="H41" s="8">
        <v>29</v>
      </c>
    </row>
    <row r="42" spans="7:8">
      <c r="G42" s="16" t="s">
        <v>1773</v>
      </c>
      <c r="H42" s="8">
        <v>118</v>
      </c>
    </row>
    <row r="43" spans="7:8">
      <c r="G43" s="17" t="s">
        <v>1774</v>
      </c>
      <c r="H43" s="8">
        <v>45</v>
      </c>
    </row>
    <row r="44" spans="7:8">
      <c r="G44" s="17" t="s">
        <v>1775</v>
      </c>
      <c r="H44" s="8">
        <v>29</v>
      </c>
    </row>
    <row r="45" spans="7:8">
      <c r="G45" s="17" t="s">
        <v>1776</v>
      </c>
      <c r="H45" s="8">
        <v>44</v>
      </c>
    </row>
    <row r="46" spans="7:8">
      <c r="G46" s="16" t="s">
        <v>1777</v>
      </c>
      <c r="H46" s="8">
        <v>133</v>
      </c>
    </row>
    <row r="47" spans="7:8">
      <c r="G47" s="17" t="s">
        <v>1778</v>
      </c>
      <c r="H47" s="8">
        <v>39</v>
      </c>
    </row>
    <row r="48" spans="7:8">
      <c r="G48" s="17" t="s">
        <v>1779</v>
      </c>
      <c r="H48" s="8">
        <v>57</v>
      </c>
    </row>
    <row r="49" spans="7:8">
      <c r="G49" s="17" t="s">
        <v>1780</v>
      </c>
      <c r="H49" s="8">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E40D5-6724-4451-A9EA-B971AF32B0D3}">
  <dimension ref="A1:X31"/>
  <sheetViews>
    <sheetView zoomScale="60" zoomScaleNormal="60" workbookViewId="0">
      <selection activeCell="AA41" sqref="AA41"/>
    </sheetView>
  </sheetViews>
  <sheetFormatPr defaultRowHeight="14.25"/>
  <cols>
    <col min="15" max="15" width="58" customWidth="1"/>
    <col min="19" max="19" width="12.25" customWidth="1"/>
  </cols>
  <sheetData>
    <row r="1" spans="1:24">
      <c r="A1" s="12"/>
      <c r="B1" s="12"/>
      <c r="C1" s="12"/>
      <c r="D1" s="12"/>
      <c r="E1" s="12"/>
      <c r="F1" s="12"/>
      <c r="G1" s="13"/>
      <c r="H1" s="13"/>
      <c r="I1" s="13"/>
      <c r="J1" s="13"/>
      <c r="K1" s="18" t="s">
        <v>1782</v>
      </c>
      <c r="L1" s="19"/>
      <c r="M1" s="19"/>
      <c r="N1" s="19"/>
      <c r="O1" s="19"/>
      <c r="P1" s="13"/>
      <c r="Q1" s="13"/>
      <c r="R1" s="13"/>
      <c r="S1" s="13"/>
      <c r="T1" s="13"/>
      <c r="U1" s="13"/>
      <c r="V1" s="13"/>
      <c r="W1" s="13"/>
      <c r="X1" s="13"/>
    </row>
    <row r="2" spans="1:24">
      <c r="A2" s="12"/>
      <c r="B2" s="12"/>
      <c r="C2" s="12"/>
      <c r="D2" s="12"/>
      <c r="E2" s="12"/>
      <c r="F2" s="20"/>
      <c r="G2" s="13"/>
      <c r="H2" s="13"/>
      <c r="I2" s="13"/>
      <c r="J2" s="13"/>
      <c r="K2" s="19"/>
      <c r="L2" s="19"/>
      <c r="M2" s="19"/>
      <c r="N2" s="19"/>
      <c r="O2" s="19"/>
      <c r="P2" s="13"/>
      <c r="Q2" s="13"/>
      <c r="R2" s="13"/>
      <c r="S2" s="13"/>
      <c r="T2" s="13"/>
      <c r="U2" s="13"/>
      <c r="V2" s="13"/>
      <c r="W2" s="13"/>
      <c r="X2" s="13"/>
    </row>
    <row r="3" spans="1:24">
      <c r="A3" s="12"/>
      <c r="B3" s="12"/>
      <c r="C3" s="12"/>
      <c r="D3" s="12"/>
      <c r="E3" s="12"/>
      <c r="F3" s="12"/>
      <c r="G3" s="13"/>
      <c r="H3" s="13"/>
      <c r="I3" s="13"/>
      <c r="J3" s="13"/>
      <c r="K3" s="19"/>
      <c r="L3" s="19"/>
      <c r="M3" s="13"/>
      <c r="N3" s="13"/>
      <c r="O3" s="13"/>
      <c r="P3" s="13"/>
      <c r="Q3" s="13"/>
      <c r="R3" s="13"/>
      <c r="S3" s="13"/>
      <c r="T3" s="13"/>
      <c r="U3" s="13"/>
      <c r="V3" s="13"/>
      <c r="W3" s="13"/>
      <c r="X3" s="13"/>
    </row>
    <row r="4" spans="1:24">
      <c r="A4" s="12"/>
      <c r="B4" s="12"/>
      <c r="C4" s="12"/>
      <c r="D4" s="12"/>
      <c r="E4" s="12"/>
      <c r="F4" s="12"/>
      <c r="G4" s="13"/>
      <c r="H4" s="13"/>
      <c r="I4" s="13"/>
      <c r="J4" s="13"/>
      <c r="K4" s="13"/>
      <c r="L4" s="13"/>
      <c r="M4" s="13"/>
      <c r="N4" s="13"/>
      <c r="O4" s="13"/>
      <c r="P4" s="13"/>
      <c r="Q4" s="13"/>
      <c r="R4" s="13"/>
      <c r="S4" s="13"/>
      <c r="T4" s="13"/>
      <c r="U4" s="13"/>
      <c r="V4" s="13"/>
      <c r="W4" s="13"/>
      <c r="X4" s="13"/>
    </row>
    <row r="5" spans="1:24">
      <c r="A5" s="12"/>
      <c r="B5" s="12"/>
      <c r="C5" s="12"/>
      <c r="D5" s="12"/>
      <c r="E5" s="12"/>
      <c r="F5" s="12"/>
      <c r="G5" s="13"/>
      <c r="H5" s="13"/>
      <c r="I5" s="13"/>
      <c r="J5" s="13"/>
      <c r="K5" s="13"/>
      <c r="L5" s="13"/>
      <c r="M5" s="13"/>
      <c r="N5" s="13"/>
      <c r="O5" s="13"/>
      <c r="P5" s="13"/>
      <c r="Q5" s="13"/>
      <c r="R5" s="13"/>
      <c r="S5" s="13"/>
      <c r="T5" s="13"/>
      <c r="U5" s="13"/>
      <c r="V5" s="13"/>
      <c r="W5" s="13"/>
      <c r="X5" s="13"/>
    </row>
    <row r="6" spans="1:24">
      <c r="A6" s="12"/>
      <c r="B6" s="12"/>
      <c r="C6" s="12"/>
      <c r="D6" s="12"/>
      <c r="E6" s="12"/>
      <c r="F6" s="12"/>
      <c r="G6" s="13"/>
      <c r="H6" s="13"/>
      <c r="I6" s="13"/>
      <c r="J6" s="13"/>
      <c r="K6" s="13"/>
      <c r="L6" s="13"/>
      <c r="M6" s="13"/>
      <c r="N6" s="13"/>
      <c r="O6" s="13"/>
      <c r="P6" s="13"/>
      <c r="Q6" s="13"/>
      <c r="R6" s="13"/>
      <c r="S6" s="13"/>
      <c r="T6" s="13"/>
      <c r="U6" s="13"/>
      <c r="V6" s="13"/>
      <c r="W6" s="13"/>
      <c r="X6" s="13"/>
    </row>
    <row r="7" spans="1:24">
      <c r="A7" s="12"/>
      <c r="B7" s="12"/>
      <c r="C7" s="12"/>
      <c r="D7" s="12"/>
      <c r="E7" s="12"/>
      <c r="F7" s="12"/>
      <c r="G7" s="13"/>
      <c r="H7" s="13"/>
      <c r="I7" s="13"/>
      <c r="J7" s="13"/>
      <c r="K7" s="13"/>
      <c r="L7" s="13"/>
      <c r="M7" s="13"/>
      <c r="N7" s="13"/>
      <c r="O7" s="13"/>
      <c r="P7" s="13"/>
      <c r="Q7" s="13"/>
      <c r="R7" s="13"/>
      <c r="S7" s="13"/>
      <c r="T7" s="13"/>
      <c r="U7" s="13"/>
      <c r="V7" s="13"/>
      <c r="W7" s="13"/>
      <c r="X7" s="13"/>
    </row>
    <row r="8" spans="1:24">
      <c r="A8" s="12"/>
      <c r="B8" s="12"/>
      <c r="C8" s="12"/>
      <c r="D8" s="12"/>
      <c r="E8" s="12"/>
      <c r="F8" s="12"/>
      <c r="G8" s="13"/>
      <c r="H8" s="13"/>
      <c r="I8" s="13"/>
      <c r="J8" s="13"/>
      <c r="K8" s="13"/>
      <c r="L8" s="13"/>
      <c r="M8" s="13"/>
      <c r="N8" s="13"/>
      <c r="O8" s="13"/>
      <c r="P8" s="13"/>
      <c r="Q8" s="13"/>
      <c r="R8" s="13"/>
      <c r="S8" s="13"/>
      <c r="T8" s="13"/>
      <c r="U8" s="13"/>
      <c r="V8" s="13"/>
      <c r="W8" s="13"/>
      <c r="X8" s="13"/>
    </row>
    <row r="9" spans="1:24">
      <c r="A9" s="12"/>
      <c r="B9" s="12"/>
      <c r="C9" s="12"/>
      <c r="D9" s="12"/>
      <c r="E9" s="12"/>
      <c r="F9" s="12"/>
      <c r="G9" s="13"/>
      <c r="H9" s="13"/>
      <c r="I9" s="13"/>
      <c r="J9" s="13"/>
      <c r="K9" s="13"/>
      <c r="L9" s="13"/>
      <c r="M9" s="13"/>
      <c r="N9" s="13"/>
      <c r="O9" s="13"/>
      <c r="P9" s="13"/>
      <c r="Q9" s="13"/>
      <c r="R9" s="13"/>
      <c r="S9" s="13"/>
      <c r="T9" s="13"/>
      <c r="U9" s="13"/>
      <c r="V9" s="13"/>
      <c r="W9" s="13"/>
      <c r="X9" s="13"/>
    </row>
    <row r="10" spans="1:24">
      <c r="A10" s="12"/>
      <c r="B10" s="12"/>
      <c r="C10" s="12"/>
      <c r="D10" s="12"/>
      <c r="E10" s="12"/>
      <c r="F10" s="12"/>
      <c r="G10" s="13"/>
      <c r="H10" s="13"/>
      <c r="I10" s="13"/>
      <c r="J10" s="13"/>
      <c r="K10" s="13"/>
      <c r="L10" s="13"/>
      <c r="M10" s="13"/>
      <c r="N10" s="13"/>
      <c r="O10" s="13"/>
      <c r="P10" s="13"/>
      <c r="Q10" s="13"/>
      <c r="R10" s="13"/>
      <c r="S10" s="13"/>
      <c r="T10" s="13"/>
      <c r="U10" s="13"/>
      <c r="V10" s="13"/>
      <c r="W10" s="13"/>
      <c r="X10" s="13"/>
    </row>
    <row r="11" spans="1:24">
      <c r="A11" s="12"/>
      <c r="B11" s="12"/>
      <c r="C11" s="12"/>
      <c r="D11" s="12"/>
      <c r="E11" s="12"/>
      <c r="F11" s="12"/>
      <c r="G11" s="13"/>
      <c r="H11" s="13"/>
      <c r="I11" s="13"/>
      <c r="J11" s="13"/>
      <c r="K11" s="13"/>
      <c r="L11" s="13"/>
      <c r="M11" s="13"/>
      <c r="N11" s="13"/>
      <c r="O11" s="13"/>
      <c r="P11" s="13"/>
      <c r="Q11" s="13"/>
      <c r="R11" s="13"/>
      <c r="S11" s="13"/>
      <c r="T11" s="13"/>
      <c r="U11" s="13"/>
      <c r="V11" s="13"/>
      <c r="W11" s="13"/>
      <c r="X11" s="13"/>
    </row>
    <row r="12" spans="1:24">
      <c r="A12" s="12"/>
      <c r="B12" s="12"/>
      <c r="C12" s="12"/>
      <c r="D12" s="12"/>
      <c r="E12" s="12"/>
      <c r="F12" s="12"/>
      <c r="G12" s="13"/>
      <c r="H12" s="13"/>
      <c r="I12" s="13"/>
      <c r="J12" s="13"/>
      <c r="K12" s="13"/>
      <c r="L12" s="13"/>
      <c r="M12" s="13"/>
      <c r="N12" s="13"/>
      <c r="O12" s="13"/>
      <c r="P12" s="13"/>
      <c r="Q12" s="13"/>
      <c r="R12" s="13"/>
      <c r="S12" s="13"/>
      <c r="T12" s="13"/>
      <c r="U12" s="13"/>
      <c r="V12" s="13"/>
      <c r="W12" s="13"/>
      <c r="X12" s="13"/>
    </row>
    <row r="13" spans="1:24">
      <c r="A13" s="12"/>
      <c r="B13" s="12"/>
      <c r="C13" s="12"/>
      <c r="D13" s="12"/>
      <c r="E13" s="12"/>
      <c r="F13" s="12"/>
      <c r="G13" s="13"/>
      <c r="H13" s="13"/>
      <c r="I13" s="13"/>
      <c r="J13" s="13"/>
      <c r="K13" s="13"/>
      <c r="L13" s="13"/>
      <c r="M13" s="13"/>
      <c r="N13" s="13"/>
      <c r="O13" s="13"/>
      <c r="P13" s="13"/>
      <c r="Q13" s="13"/>
      <c r="R13" s="13"/>
      <c r="S13" s="13"/>
      <c r="T13" s="13"/>
      <c r="U13" s="13"/>
      <c r="V13" s="13"/>
      <c r="W13" s="13"/>
      <c r="X13" s="13"/>
    </row>
    <row r="14" spans="1:24">
      <c r="A14" s="12"/>
      <c r="B14" s="12"/>
      <c r="C14" s="12"/>
      <c r="D14" s="12"/>
      <c r="E14" s="12"/>
      <c r="F14" s="12"/>
      <c r="G14" s="13"/>
      <c r="H14" s="13"/>
      <c r="I14" s="13"/>
      <c r="J14" s="13"/>
      <c r="K14" s="13"/>
      <c r="L14" s="13"/>
      <c r="M14" s="13"/>
      <c r="N14" s="13"/>
      <c r="O14" s="13"/>
      <c r="P14" s="13"/>
      <c r="Q14" s="13"/>
      <c r="R14" s="13"/>
      <c r="S14" s="13"/>
      <c r="T14" s="13"/>
      <c r="U14" s="13"/>
      <c r="V14" s="13"/>
      <c r="W14" s="13"/>
      <c r="X14" s="13"/>
    </row>
    <row r="15" spans="1:24">
      <c r="A15" s="12"/>
      <c r="B15" s="12"/>
      <c r="C15" s="12"/>
      <c r="D15" s="12"/>
      <c r="E15" s="12"/>
      <c r="F15" s="12"/>
      <c r="G15" s="13"/>
      <c r="H15" s="13"/>
      <c r="I15" s="13"/>
      <c r="J15" s="13"/>
      <c r="K15" s="13"/>
      <c r="L15" s="13"/>
      <c r="M15" s="13"/>
      <c r="N15" s="13"/>
      <c r="O15" s="13"/>
      <c r="P15" s="13"/>
      <c r="Q15" s="13"/>
      <c r="R15" s="13"/>
      <c r="S15" s="13"/>
      <c r="T15" s="13"/>
      <c r="U15" s="13"/>
      <c r="V15" s="13"/>
      <c r="W15" s="13"/>
      <c r="X15" s="13"/>
    </row>
    <row r="16" spans="1:24">
      <c r="A16" s="12"/>
      <c r="B16" s="12"/>
      <c r="C16" s="12"/>
      <c r="D16" s="12"/>
      <c r="E16" s="12"/>
      <c r="F16" s="12"/>
      <c r="G16" s="13"/>
      <c r="H16" s="13"/>
      <c r="I16" s="13"/>
      <c r="J16" s="13"/>
      <c r="K16" s="13"/>
      <c r="L16" s="13"/>
      <c r="M16" s="13"/>
      <c r="N16" s="13"/>
      <c r="O16" s="13"/>
      <c r="P16" s="13"/>
      <c r="Q16" s="13"/>
      <c r="R16" s="13"/>
      <c r="S16" s="13"/>
      <c r="T16" s="13"/>
      <c r="U16" s="13"/>
      <c r="V16" s="13"/>
      <c r="W16" s="13"/>
      <c r="X16" s="13"/>
    </row>
    <row r="17" spans="1:24">
      <c r="A17" s="12"/>
      <c r="B17" s="12"/>
      <c r="C17" s="12"/>
      <c r="D17" s="12"/>
      <c r="E17" s="12"/>
      <c r="F17" s="12"/>
      <c r="G17" s="13"/>
      <c r="H17" s="13"/>
      <c r="I17" s="13"/>
      <c r="J17" s="13"/>
      <c r="K17" s="13"/>
      <c r="L17" s="13"/>
      <c r="M17" s="13"/>
      <c r="N17" s="13"/>
      <c r="O17" s="13"/>
      <c r="P17" s="13"/>
      <c r="Q17" s="13"/>
      <c r="R17" s="13"/>
      <c r="S17" s="13"/>
      <c r="T17" s="13"/>
      <c r="U17" s="13"/>
      <c r="V17" s="13"/>
      <c r="W17" s="13"/>
      <c r="X17" s="13"/>
    </row>
    <row r="18" spans="1:24">
      <c r="A18" s="12"/>
      <c r="B18" s="12"/>
      <c r="C18" s="12"/>
      <c r="D18" s="12"/>
      <c r="E18" s="12"/>
      <c r="F18" s="12"/>
      <c r="G18" s="13"/>
      <c r="H18" s="13"/>
      <c r="I18" s="13"/>
      <c r="J18" s="13"/>
      <c r="K18" s="13"/>
      <c r="L18" s="13"/>
      <c r="M18" s="13"/>
      <c r="N18" s="13"/>
      <c r="O18" s="13"/>
      <c r="P18" s="13"/>
      <c r="Q18" s="13"/>
      <c r="R18" s="13"/>
      <c r="S18" s="13"/>
      <c r="T18" s="13"/>
      <c r="U18" s="13"/>
      <c r="V18" s="13"/>
      <c r="W18" s="13"/>
      <c r="X18" s="13"/>
    </row>
    <row r="19" spans="1:24">
      <c r="A19" s="12"/>
      <c r="B19" s="12"/>
      <c r="C19" s="12"/>
      <c r="D19" s="12"/>
      <c r="E19" s="12"/>
      <c r="F19" s="12"/>
      <c r="G19" s="13"/>
      <c r="H19" s="13"/>
      <c r="I19" s="13"/>
      <c r="J19" s="13"/>
      <c r="K19" s="13"/>
      <c r="L19" s="13"/>
      <c r="M19" s="13"/>
      <c r="N19" s="13"/>
      <c r="O19" s="13"/>
      <c r="P19" s="13"/>
      <c r="Q19" s="13"/>
      <c r="R19" s="13"/>
      <c r="S19" s="13"/>
      <c r="T19" s="13"/>
      <c r="U19" s="13"/>
      <c r="V19" s="13"/>
      <c r="W19" s="13"/>
      <c r="X19" s="13"/>
    </row>
    <row r="20" spans="1:24">
      <c r="A20" s="12"/>
      <c r="B20" s="12"/>
      <c r="C20" s="12"/>
      <c r="D20" s="12"/>
      <c r="E20" s="12"/>
      <c r="F20" s="12"/>
      <c r="G20" s="13"/>
      <c r="H20" s="13"/>
      <c r="I20" s="13"/>
      <c r="J20" s="13"/>
      <c r="K20" s="13"/>
      <c r="L20" s="13"/>
      <c r="M20" s="13"/>
      <c r="N20" s="13"/>
      <c r="O20" s="13"/>
      <c r="P20" s="13"/>
      <c r="Q20" s="13"/>
      <c r="R20" s="13"/>
      <c r="S20" s="13"/>
      <c r="T20" s="13"/>
      <c r="U20" s="13"/>
      <c r="V20" s="13"/>
      <c r="W20" s="13"/>
      <c r="X20" s="13"/>
    </row>
    <row r="21" spans="1:24">
      <c r="A21" s="12"/>
      <c r="B21" s="12"/>
      <c r="C21" s="12"/>
      <c r="D21" s="12"/>
      <c r="E21" s="12"/>
      <c r="F21" s="12"/>
      <c r="G21" s="13"/>
      <c r="H21" s="13"/>
      <c r="I21" s="13"/>
      <c r="J21" s="13"/>
      <c r="K21" s="13"/>
      <c r="L21" s="13"/>
      <c r="M21" s="13"/>
      <c r="N21" s="13"/>
      <c r="O21" s="13"/>
      <c r="P21" s="13"/>
      <c r="Q21" s="13"/>
      <c r="R21" s="13"/>
      <c r="S21" s="13"/>
      <c r="T21" s="13"/>
      <c r="U21" s="13"/>
      <c r="V21" s="13"/>
      <c r="W21" s="13"/>
      <c r="X21" s="13"/>
    </row>
    <row r="22" spans="1:24">
      <c r="A22" s="12"/>
      <c r="B22" s="12"/>
      <c r="C22" s="12"/>
      <c r="D22" s="12"/>
      <c r="E22" s="12"/>
      <c r="F22" s="12"/>
      <c r="G22" s="13"/>
      <c r="H22" s="13"/>
      <c r="I22" s="13"/>
      <c r="J22" s="13"/>
      <c r="K22" s="13"/>
      <c r="L22" s="13"/>
      <c r="M22" s="13"/>
      <c r="N22" s="13"/>
      <c r="O22" s="13"/>
      <c r="P22" s="13"/>
      <c r="Q22" s="13"/>
      <c r="R22" s="13"/>
      <c r="S22" s="13"/>
      <c r="T22" s="13"/>
      <c r="U22" s="13"/>
      <c r="V22" s="13"/>
      <c r="W22" s="13"/>
      <c r="X22" s="13"/>
    </row>
    <row r="23" spans="1:24">
      <c r="A23" s="12"/>
      <c r="B23" s="12"/>
      <c r="C23" s="12"/>
      <c r="D23" s="12"/>
      <c r="E23" s="12"/>
      <c r="F23" s="12"/>
      <c r="G23" s="13"/>
      <c r="H23" s="13"/>
      <c r="I23" s="13"/>
      <c r="J23" s="13"/>
      <c r="K23" s="13"/>
      <c r="L23" s="13"/>
      <c r="M23" s="13"/>
      <c r="N23" s="13"/>
      <c r="O23" s="13"/>
      <c r="P23" s="13"/>
      <c r="Q23" s="13"/>
      <c r="R23" s="13"/>
      <c r="S23" s="13"/>
      <c r="T23" s="13"/>
      <c r="U23" s="13"/>
      <c r="V23" s="13"/>
      <c r="W23" s="13"/>
      <c r="X23" s="13"/>
    </row>
    <row r="24" spans="1:24">
      <c r="A24" s="12"/>
      <c r="B24" s="12"/>
      <c r="C24" s="12"/>
      <c r="D24" s="12"/>
      <c r="E24" s="12"/>
      <c r="F24" s="12"/>
      <c r="G24" s="13"/>
      <c r="H24" s="13"/>
      <c r="I24" s="13"/>
      <c r="J24" s="13"/>
      <c r="K24" s="13"/>
      <c r="L24" s="13"/>
      <c r="M24" s="13"/>
      <c r="N24" s="13"/>
      <c r="O24" s="13"/>
      <c r="P24" s="13"/>
      <c r="Q24" s="13"/>
      <c r="R24" s="13"/>
      <c r="S24" s="13"/>
      <c r="T24" s="13"/>
      <c r="U24" s="13"/>
      <c r="V24" s="13"/>
      <c r="W24" s="13"/>
      <c r="X24" s="13"/>
    </row>
    <row r="25" spans="1:24">
      <c r="A25" s="12"/>
      <c r="B25" s="12"/>
      <c r="C25" s="12"/>
      <c r="D25" s="12"/>
      <c r="E25" s="12"/>
      <c r="F25" s="12"/>
      <c r="G25" s="13"/>
      <c r="H25" s="13"/>
      <c r="I25" s="13"/>
      <c r="J25" s="13"/>
      <c r="K25" s="13"/>
      <c r="L25" s="13"/>
      <c r="M25" s="13"/>
      <c r="N25" s="13"/>
      <c r="O25" s="13"/>
      <c r="P25" s="13"/>
      <c r="Q25" s="13"/>
      <c r="R25" s="13"/>
      <c r="S25" s="13"/>
      <c r="T25" s="13"/>
      <c r="U25" s="13"/>
      <c r="V25" s="13"/>
      <c r="W25" s="13"/>
      <c r="X25" s="13"/>
    </row>
    <row r="26" spans="1:24">
      <c r="A26" s="12"/>
      <c r="B26" s="12"/>
      <c r="C26" s="12"/>
      <c r="D26" s="12"/>
      <c r="E26" s="12"/>
      <c r="F26" s="12"/>
      <c r="G26" s="13"/>
      <c r="H26" s="13"/>
      <c r="I26" s="13"/>
      <c r="J26" s="13"/>
      <c r="K26" s="13"/>
      <c r="L26" s="13"/>
      <c r="M26" s="13"/>
      <c r="N26" s="13"/>
      <c r="O26" s="13"/>
      <c r="P26" s="13"/>
      <c r="Q26" s="13"/>
      <c r="R26" s="13"/>
      <c r="S26" s="13"/>
      <c r="T26" s="13"/>
      <c r="U26" s="13"/>
      <c r="V26" s="13"/>
      <c r="W26" s="13"/>
      <c r="X26" s="13"/>
    </row>
    <row r="27" spans="1:24">
      <c r="A27" s="12"/>
      <c r="B27" s="12"/>
      <c r="C27" s="12"/>
      <c r="D27" s="12"/>
      <c r="E27" s="12"/>
      <c r="F27" s="12"/>
      <c r="G27" s="13"/>
      <c r="H27" s="13"/>
      <c r="I27" s="13"/>
      <c r="J27" s="13"/>
      <c r="K27" s="13"/>
      <c r="L27" s="13"/>
      <c r="M27" s="13"/>
      <c r="N27" s="13"/>
      <c r="O27" s="13"/>
      <c r="P27" s="13"/>
      <c r="Q27" s="13"/>
      <c r="R27" s="13"/>
      <c r="S27" s="13"/>
      <c r="T27" s="13"/>
      <c r="U27" s="13"/>
      <c r="V27" s="13"/>
      <c r="W27" s="13"/>
      <c r="X27" s="13"/>
    </row>
    <row r="28" spans="1:24">
      <c r="A28" s="12"/>
      <c r="B28" s="12"/>
      <c r="C28" s="12"/>
      <c r="D28" s="12"/>
      <c r="E28" s="12"/>
      <c r="F28" s="12"/>
      <c r="G28" s="13"/>
      <c r="H28" s="13"/>
      <c r="I28" s="13"/>
      <c r="J28" s="13"/>
      <c r="K28" s="13"/>
      <c r="L28" s="13"/>
      <c r="M28" s="13"/>
      <c r="N28" s="13"/>
      <c r="O28" s="13"/>
      <c r="P28" s="13"/>
      <c r="Q28" s="13"/>
      <c r="R28" s="13"/>
      <c r="S28" s="13"/>
      <c r="T28" s="13"/>
      <c r="U28" s="13"/>
      <c r="V28" s="13"/>
      <c r="W28" s="13"/>
      <c r="X28" s="13"/>
    </row>
    <row r="29" spans="1:24">
      <c r="A29" s="12"/>
      <c r="B29" s="12"/>
      <c r="C29" s="12"/>
      <c r="D29" s="12"/>
      <c r="E29" s="12"/>
      <c r="F29" s="12"/>
      <c r="G29" s="13"/>
      <c r="H29" s="13"/>
      <c r="I29" s="13"/>
      <c r="J29" s="13"/>
      <c r="K29" s="13"/>
      <c r="L29" s="13"/>
      <c r="M29" s="13"/>
      <c r="N29" s="13"/>
      <c r="O29" s="13"/>
      <c r="P29" s="13"/>
      <c r="Q29" s="13"/>
      <c r="R29" s="13"/>
      <c r="S29" s="13"/>
      <c r="T29" s="13"/>
      <c r="U29" s="13"/>
      <c r="V29" s="13"/>
      <c r="W29" s="13"/>
      <c r="X29" s="13"/>
    </row>
    <row r="30" spans="1:24">
      <c r="A30" s="12"/>
      <c r="B30" s="12"/>
      <c r="C30" s="12"/>
      <c r="D30" s="12"/>
      <c r="E30" s="12"/>
      <c r="F30" s="12"/>
      <c r="G30" s="13"/>
      <c r="H30" s="13"/>
      <c r="I30" s="13"/>
      <c r="J30" s="13"/>
      <c r="K30" s="13"/>
      <c r="L30" s="13"/>
      <c r="M30" s="13"/>
      <c r="N30" s="13"/>
      <c r="O30" s="13"/>
      <c r="P30" s="13"/>
      <c r="Q30" s="13"/>
      <c r="R30" s="13"/>
      <c r="S30" s="13"/>
      <c r="T30" s="13"/>
      <c r="U30" s="13"/>
      <c r="V30" s="13"/>
      <c r="W30" s="13"/>
      <c r="X30" s="13"/>
    </row>
    <row r="31" spans="1:24">
      <c r="G31" s="13"/>
      <c r="H31" s="13"/>
      <c r="I31" s="13"/>
      <c r="J31" s="13"/>
      <c r="K31" s="13"/>
      <c r="L31" s="13"/>
      <c r="M31" s="13"/>
      <c r="N31" s="13"/>
      <c r="O31" s="13"/>
      <c r="P31" s="13"/>
      <c r="Q31" s="13"/>
      <c r="R31" s="13"/>
      <c r="S31" s="13"/>
      <c r="T31" s="13"/>
      <c r="U31" s="13"/>
      <c r="V31" s="13"/>
      <c r="W31" s="13"/>
      <c r="X31" s="13"/>
    </row>
  </sheetData>
  <mergeCells count="2">
    <mergeCell ref="K1:O2"/>
    <mergeCell ref="K3:L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P1048"/>
  <sheetViews>
    <sheetView tabSelected="1" zoomScale="89" zoomScaleNormal="89" workbookViewId="0">
      <pane ySplit="1" topLeftCell="A961" activePane="bottomLeft" state="frozen"/>
      <selection pane="bottomLeft" activeCell="D58" sqref="D58"/>
    </sheetView>
  </sheetViews>
  <sheetFormatPr defaultRowHeight="14.25"/>
  <cols>
    <col min="1" max="1" width="9" bestFit="1" customWidth="1"/>
    <col min="2" max="2" width="19.25" bestFit="1" customWidth="1"/>
    <col min="3" max="3" width="3.875" bestFit="1" customWidth="1"/>
    <col min="4" max="4" width="6.875" bestFit="1" customWidth="1"/>
    <col min="5" max="5" width="14" bestFit="1" customWidth="1"/>
    <col min="6" max="6" width="13.5" bestFit="1" customWidth="1"/>
    <col min="7" max="7" width="10.875" bestFit="1" customWidth="1"/>
    <col min="8" max="8" width="20.5" bestFit="1" customWidth="1"/>
    <col min="9" max="9" width="15" bestFit="1" customWidth="1"/>
    <col min="10" max="10" width="25" customWidth="1"/>
    <col min="11" max="11" width="18.125" style="4" customWidth="1"/>
    <col min="12" max="12" width="29.125" customWidth="1"/>
    <col min="13" max="13" width="29.5" customWidth="1"/>
    <col min="14" max="14" width="26.75" customWidth="1"/>
    <col min="15" max="15" width="22.375" customWidth="1"/>
    <col min="16" max="16" width="25.125" customWidth="1"/>
  </cols>
  <sheetData>
    <row r="1" spans="1:16" ht="15">
      <c r="A1" s="1" t="s">
        <v>0</v>
      </c>
      <c r="B1" s="1" t="s">
        <v>1</v>
      </c>
      <c r="C1" s="1" t="s">
        <v>2</v>
      </c>
      <c r="D1" s="1" t="s">
        <v>3</v>
      </c>
      <c r="E1" s="1" t="s">
        <v>4</v>
      </c>
      <c r="F1" s="1" t="s">
        <v>5</v>
      </c>
      <c r="G1" s="1" t="s">
        <v>6</v>
      </c>
      <c r="H1" s="1" t="s">
        <v>7</v>
      </c>
      <c r="I1" s="1" t="s">
        <v>8</v>
      </c>
      <c r="J1" s="1" t="s">
        <v>9</v>
      </c>
      <c r="K1" s="5" t="s">
        <v>1743</v>
      </c>
      <c r="L1" s="1" t="s">
        <v>1744</v>
      </c>
      <c r="M1" s="1" t="s">
        <v>1745</v>
      </c>
      <c r="N1" s="1" t="s">
        <v>1746</v>
      </c>
      <c r="O1" s="1" t="s">
        <v>1747</v>
      </c>
      <c r="P1" s="1" t="s">
        <v>1748</v>
      </c>
    </row>
    <row r="2" spans="1:16">
      <c r="A2" t="s">
        <v>10</v>
      </c>
      <c r="B2" t="s">
        <v>11</v>
      </c>
      <c r="C2">
        <v>57</v>
      </c>
      <c r="D2" t="s">
        <v>12</v>
      </c>
      <c r="E2" s="2">
        <v>45488</v>
      </c>
      <c r="F2" s="2">
        <v>45496</v>
      </c>
      <c r="G2" t="s">
        <v>13</v>
      </c>
      <c r="H2" t="s">
        <v>14</v>
      </c>
      <c r="I2" s="3">
        <v>15359.41</v>
      </c>
      <c r="J2" t="s">
        <v>15</v>
      </c>
      <c r="K2" s="4">
        <v>0.6</v>
      </c>
      <c r="L2" s="3">
        <f>I2*K2</f>
        <v>9215.6459999999988</v>
      </c>
      <c r="M2" s="3">
        <f>(100%-K2)*I2</f>
        <v>6143.7640000000001</v>
      </c>
      <c r="N2">
        <f>_xlfn.DAYS(F2,E2)</f>
        <v>8</v>
      </c>
      <c r="O2" s="3">
        <f>IF(J2="Paid", I2, 0)</f>
        <v>15359.41</v>
      </c>
      <c r="P2" t="str" cm="1">
        <f t="array" ref="P2">_xlfn.IFS(C2&lt;18, "Under 18", C2&lt;36, "Btw 18&amp;35", C2&lt;51, "Btw 36&amp;50", C2&lt;66, "Btw 51&amp;65", C2&gt;=66," 66&amp;Above")</f>
        <v>Btw 51&amp;65</v>
      </c>
    </row>
    <row r="3" spans="1:16">
      <c r="A3" t="s">
        <v>16</v>
      </c>
      <c r="B3" t="s">
        <v>17</v>
      </c>
      <c r="C3">
        <v>62</v>
      </c>
      <c r="D3" t="s">
        <v>18</v>
      </c>
      <c r="E3" s="2">
        <v>45729</v>
      </c>
      <c r="F3" s="2">
        <v>45739</v>
      </c>
      <c r="G3" t="s">
        <v>13</v>
      </c>
      <c r="H3" t="s">
        <v>19</v>
      </c>
      <c r="I3" s="3">
        <v>21896.6</v>
      </c>
      <c r="J3" t="s">
        <v>20</v>
      </c>
      <c r="K3" s="4">
        <v>0.8</v>
      </c>
      <c r="L3" s="3">
        <f t="shared" ref="L3:L66" si="0">I3*K3</f>
        <v>17517.28</v>
      </c>
      <c r="M3" s="3">
        <f t="shared" ref="M3:M66" si="1">(100%-K3)*I3</f>
        <v>4379.3199999999988</v>
      </c>
      <c r="N3">
        <f t="shared" ref="N3:N66" si="2">_xlfn.DAYS(F3,E3)</f>
        <v>10</v>
      </c>
      <c r="O3" s="3">
        <f t="shared" ref="O3:O66" si="3">IF(J3="Paid", I3, 0)</f>
        <v>0</v>
      </c>
      <c r="P3" t="str" cm="1">
        <f t="array" ref="P3">_xlfn.IFS(C3&lt;18, "Under 18", C3&lt;36, "Btw 18&amp;35", C3&lt;51, "Btw 36&amp;50", C3&lt;66, "Btw 51&amp;65", C3&gt;=66," 66&amp;Above")</f>
        <v>Btw 51&amp;65</v>
      </c>
    </row>
    <row r="4" spans="1:16">
      <c r="A4" t="s">
        <v>21</v>
      </c>
      <c r="B4" t="s">
        <v>22</v>
      </c>
      <c r="C4">
        <v>82</v>
      </c>
      <c r="D4" t="s">
        <v>18</v>
      </c>
      <c r="E4" s="2">
        <v>45387</v>
      </c>
      <c r="F4" s="2">
        <v>45390</v>
      </c>
      <c r="G4" t="s">
        <v>23</v>
      </c>
      <c r="H4" t="s">
        <v>24</v>
      </c>
      <c r="I4" s="3">
        <v>6404.86</v>
      </c>
      <c r="J4" t="s">
        <v>25</v>
      </c>
      <c r="K4" s="4">
        <v>0</v>
      </c>
      <c r="L4" s="3">
        <f t="shared" si="0"/>
        <v>0</v>
      </c>
      <c r="M4" s="3">
        <f t="shared" si="1"/>
        <v>6404.86</v>
      </c>
      <c r="N4">
        <f t="shared" si="2"/>
        <v>3</v>
      </c>
      <c r="O4" s="3">
        <f t="shared" si="3"/>
        <v>0</v>
      </c>
      <c r="P4" t="str" cm="1">
        <f t="array" ref="P4">_xlfn.IFS(C4&lt;18, "Under 18", C4&lt;36, "Btw 18&amp;35", C4&lt;51, "Btw 36&amp;50", C4&lt;66, "Btw 51&amp;65", C4&gt;=66," 66&amp;Above")</f>
        <v xml:space="preserve"> 66&amp;Above</v>
      </c>
    </row>
    <row r="5" spans="1:16">
      <c r="A5" t="s">
        <v>26</v>
      </c>
      <c r="B5" t="s">
        <v>27</v>
      </c>
      <c r="C5">
        <v>29</v>
      </c>
      <c r="D5" t="s">
        <v>18</v>
      </c>
      <c r="E5" s="2">
        <v>45588</v>
      </c>
      <c r="F5" s="2">
        <v>45589</v>
      </c>
      <c r="G5" t="s">
        <v>23</v>
      </c>
      <c r="H5" t="s">
        <v>28</v>
      </c>
      <c r="I5" s="3">
        <v>1001.68</v>
      </c>
      <c r="J5" t="s">
        <v>20</v>
      </c>
      <c r="K5" s="4">
        <v>0.9</v>
      </c>
      <c r="L5" s="3">
        <f t="shared" si="0"/>
        <v>901.51199999999994</v>
      </c>
      <c r="M5" s="3">
        <f t="shared" si="1"/>
        <v>100.16799999999998</v>
      </c>
      <c r="N5">
        <f t="shared" si="2"/>
        <v>1</v>
      </c>
      <c r="O5" s="3">
        <f t="shared" si="3"/>
        <v>0</v>
      </c>
      <c r="P5" t="str" cm="1">
        <f t="array" ref="P5">_xlfn.IFS(C5&lt;18, "Under 18", C5&lt;36, "Btw 18&amp;35", C5&lt;51, "Btw 36&amp;50", C5&lt;66, "Btw 51&amp;65", C5&gt;=66," 66&amp;Above")</f>
        <v>Btw 18&amp;35</v>
      </c>
    </row>
    <row r="6" spans="1:16">
      <c r="A6" t="s">
        <v>29</v>
      </c>
      <c r="B6" t="s">
        <v>30</v>
      </c>
      <c r="C6">
        <v>65</v>
      </c>
      <c r="D6" t="s">
        <v>12</v>
      </c>
      <c r="E6" s="2">
        <v>45621</v>
      </c>
      <c r="F6" s="2">
        <v>45627</v>
      </c>
      <c r="G6" t="s">
        <v>31</v>
      </c>
      <c r="H6" t="s">
        <v>32</v>
      </c>
      <c r="I6" s="3">
        <v>4022.42</v>
      </c>
      <c r="J6" t="s">
        <v>20</v>
      </c>
      <c r="K6" s="4">
        <v>0.8</v>
      </c>
      <c r="L6" s="3">
        <f t="shared" si="0"/>
        <v>3217.9360000000001</v>
      </c>
      <c r="M6" s="3">
        <f t="shared" si="1"/>
        <v>804.48399999999981</v>
      </c>
      <c r="N6">
        <f t="shared" si="2"/>
        <v>6</v>
      </c>
      <c r="O6" s="3">
        <f t="shared" si="3"/>
        <v>0</v>
      </c>
      <c r="P6" t="str" cm="1">
        <f t="array" ref="P6">_xlfn.IFS(C6&lt;18, "Under 18", C6&lt;36, "Btw 18&amp;35", C6&lt;51, "Btw 36&amp;50", C6&lt;66, "Btw 51&amp;65", C6&gt;=66," 66&amp;Above")</f>
        <v>Btw 51&amp;65</v>
      </c>
    </row>
    <row r="7" spans="1:16">
      <c r="A7" t="s">
        <v>33</v>
      </c>
      <c r="B7" t="s">
        <v>34</v>
      </c>
      <c r="C7">
        <v>53</v>
      </c>
      <c r="D7" t="s">
        <v>12</v>
      </c>
      <c r="E7" s="2">
        <v>45494</v>
      </c>
      <c r="F7" s="2">
        <v>45501</v>
      </c>
      <c r="G7" t="s">
        <v>31</v>
      </c>
      <c r="H7" t="s">
        <v>35</v>
      </c>
      <c r="I7" s="3">
        <v>6621.96</v>
      </c>
      <c r="J7" t="s">
        <v>25</v>
      </c>
      <c r="K7" s="4">
        <v>0.5</v>
      </c>
      <c r="L7" s="3">
        <f t="shared" si="0"/>
        <v>3310.98</v>
      </c>
      <c r="M7" s="3">
        <f t="shared" si="1"/>
        <v>3310.98</v>
      </c>
      <c r="N7">
        <f t="shared" si="2"/>
        <v>7</v>
      </c>
      <c r="O7" s="3">
        <f t="shared" si="3"/>
        <v>0</v>
      </c>
      <c r="P7" t="str" cm="1">
        <f t="array" ref="P7">_xlfn.IFS(C7&lt;18, "Under 18", C7&lt;36, "Btw 18&amp;35", C7&lt;51, "Btw 36&amp;50", C7&lt;66, "Btw 51&amp;65", C7&gt;=66," 66&amp;Above")</f>
        <v>Btw 51&amp;65</v>
      </c>
    </row>
    <row r="8" spans="1:16">
      <c r="A8" t="s">
        <v>36</v>
      </c>
      <c r="B8" t="s">
        <v>37</v>
      </c>
      <c r="C8">
        <v>46</v>
      </c>
      <c r="D8" t="s">
        <v>18</v>
      </c>
      <c r="E8" s="2">
        <v>45331</v>
      </c>
      <c r="F8" s="2">
        <v>45335</v>
      </c>
      <c r="G8" t="s">
        <v>13</v>
      </c>
      <c r="H8" t="s">
        <v>38</v>
      </c>
      <c r="I8" s="3">
        <v>7676.36</v>
      </c>
      <c r="J8" t="s">
        <v>25</v>
      </c>
      <c r="K8" s="4">
        <v>0.7</v>
      </c>
      <c r="L8" s="3">
        <f t="shared" si="0"/>
        <v>5373.4519999999993</v>
      </c>
      <c r="M8" s="3">
        <f t="shared" si="1"/>
        <v>2302.9080000000004</v>
      </c>
      <c r="N8">
        <f t="shared" si="2"/>
        <v>4</v>
      </c>
      <c r="O8" s="3">
        <f t="shared" si="3"/>
        <v>0</v>
      </c>
      <c r="P8" t="str" cm="1">
        <f t="array" ref="P8">_xlfn.IFS(C8&lt;18, "Under 18", C8&lt;36, "Btw 18&amp;35", C8&lt;51, "Btw 36&amp;50", C8&lt;66, "Btw 51&amp;65", C8&gt;=66," 66&amp;Above")</f>
        <v>Btw 36&amp;50</v>
      </c>
    </row>
    <row r="9" spans="1:16">
      <c r="A9" t="s">
        <v>39</v>
      </c>
      <c r="B9" t="s">
        <v>40</v>
      </c>
      <c r="C9">
        <v>21</v>
      </c>
      <c r="D9" t="s">
        <v>18</v>
      </c>
      <c r="E9" s="2">
        <v>45346</v>
      </c>
      <c r="F9" s="2">
        <v>45349</v>
      </c>
      <c r="G9" t="s">
        <v>23</v>
      </c>
      <c r="H9" t="s">
        <v>41</v>
      </c>
      <c r="I9" s="3">
        <v>7381.69</v>
      </c>
      <c r="J9" t="s">
        <v>20</v>
      </c>
      <c r="K9" s="4">
        <v>0.8</v>
      </c>
      <c r="L9" s="3">
        <f t="shared" si="0"/>
        <v>5905.3519999999999</v>
      </c>
      <c r="M9" s="3">
        <f t="shared" si="1"/>
        <v>1476.3379999999995</v>
      </c>
      <c r="N9">
        <f t="shared" si="2"/>
        <v>3</v>
      </c>
      <c r="O9" s="3">
        <f t="shared" si="3"/>
        <v>0</v>
      </c>
      <c r="P9" t="str" cm="1">
        <f t="array" ref="P9">_xlfn.IFS(C9&lt;18, "Under 18", C9&lt;36, "Btw 18&amp;35", C9&lt;51, "Btw 36&amp;50", C9&lt;66, "Btw 51&amp;65", C9&gt;=66," 66&amp;Above")</f>
        <v>Btw 18&amp;35</v>
      </c>
    </row>
    <row r="10" spans="1:16">
      <c r="A10" t="s">
        <v>42</v>
      </c>
      <c r="B10" t="s">
        <v>43</v>
      </c>
      <c r="C10">
        <v>62</v>
      </c>
      <c r="D10" t="s">
        <v>12</v>
      </c>
      <c r="E10" s="2">
        <v>45607</v>
      </c>
      <c r="F10" s="2">
        <v>45613</v>
      </c>
      <c r="G10" t="s">
        <v>31</v>
      </c>
      <c r="H10" t="s">
        <v>44</v>
      </c>
      <c r="I10" s="3">
        <v>5206.3999999999996</v>
      </c>
      <c r="J10" t="s">
        <v>20</v>
      </c>
      <c r="K10" s="4">
        <v>0.8</v>
      </c>
      <c r="L10" s="3">
        <f t="shared" si="0"/>
        <v>4165.12</v>
      </c>
      <c r="M10" s="3">
        <f t="shared" si="1"/>
        <v>1041.2799999999997</v>
      </c>
      <c r="N10">
        <f t="shared" si="2"/>
        <v>6</v>
      </c>
      <c r="O10" s="3">
        <f t="shared" si="3"/>
        <v>0</v>
      </c>
      <c r="P10" t="str" cm="1">
        <f t="array" ref="P10">_xlfn.IFS(C10&lt;18, "Under 18", C10&lt;36, "Btw 18&amp;35", C10&lt;51, "Btw 36&amp;50", C10&lt;66, "Btw 51&amp;65", C10&gt;=66," 66&amp;Above")</f>
        <v>Btw 51&amp;65</v>
      </c>
    </row>
    <row r="11" spans="1:16">
      <c r="A11" t="s">
        <v>45</v>
      </c>
      <c r="B11" t="s">
        <v>46</v>
      </c>
      <c r="C11">
        <v>59</v>
      </c>
      <c r="D11" t="s">
        <v>12</v>
      </c>
      <c r="E11" s="2">
        <v>45874</v>
      </c>
      <c r="F11" s="2">
        <v>45875</v>
      </c>
      <c r="G11" t="s">
        <v>23</v>
      </c>
      <c r="H11" t="s">
        <v>41</v>
      </c>
      <c r="I11" s="3">
        <v>2498.98</v>
      </c>
      <c r="J11" t="s">
        <v>20</v>
      </c>
      <c r="K11" s="4">
        <v>0.5</v>
      </c>
      <c r="L11" s="3">
        <f t="shared" si="0"/>
        <v>1249.49</v>
      </c>
      <c r="M11" s="3">
        <f t="shared" si="1"/>
        <v>1249.49</v>
      </c>
      <c r="N11">
        <f t="shared" si="2"/>
        <v>1</v>
      </c>
      <c r="O11" s="3">
        <f t="shared" si="3"/>
        <v>0</v>
      </c>
      <c r="P11" t="str" cm="1">
        <f t="array" ref="P11">_xlfn.IFS(C11&lt;18, "Under 18", C11&lt;36, "Btw 18&amp;35", C11&lt;51, "Btw 36&amp;50", C11&lt;66, "Btw 51&amp;65", C11&gt;=66," 66&amp;Above")</f>
        <v>Btw 51&amp;65</v>
      </c>
    </row>
    <row r="12" spans="1:16">
      <c r="A12" t="s">
        <v>47</v>
      </c>
      <c r="B12" t="s">
        <v>48</v>
      </c>
      <c r="C12">
        <v>7</v>
      </c>
      <c r="D12" t="s">
        <v>12</v>
      </c>
      <c r="E12" s="2">
        <v>45967</v>
      </c>
      <c r="F12" s="2">
        <v>45969</v>
      </c>
      <c r="G12" t="s">
        <v>49</v>
      </c>
      <c r="H12" t="s">
        <v>50</v>
      </c>
      <c r="I12" s="3">
        <v>2096.73</v>
      </c>
      <c r="J12" t="s">
        <v>15</v>
      </c>
      <c r="K12" s="4">
        <v>0.7</v>
      </c>
      <c r="L12" s="3">
        <f t="shared" si="0"/>
        <v>1467.711</v>
      </c>
      <c r="M12" s="3">
        <f t="shared" si="1"/>
        <v>629.01900000000012</v>
      </c>
      <c r="N12">
        <f t="shared" si="2"/>
        <v>2</v>
      </c>
      <c r="O12" s="3">
        <f t="shared" si="3"/>
        <v>2096.73</v>
      </c>
      <c r="P12" t="str" cm="1">
        <f t="array" ref="P12">_xlfn.IFS(C12&lt;18, "Under 18", C12&lt;36, "Btw 18&amp;35", C12&lt;51, "Btw 36&amp;50", C12&lt;66, "Btw 51&amp;65", C12&gt;=66," 66&amp;Above")</f>
        <v>Under 18</v>
      </c>
    </row>
    <row r="13" spans="1:16">
      <c r="A13" t="s">
        <v>51</v>
      </c>
      <c r="B13" t="s">
        <v>52</v>
      </c>
      <c r="C13">
        <v>85</v>
      </c>
      <c r="D13" t="s">
        <v>18</v>
      </c>
      <c r="E13" s="2">
        <v>45719</v>
      </c>
      <c r="F13" s="2">
        <v>45724</v>
      </c>
      <c r="G13" t="s">
        <v>31</v>
      </c>
      <c r="H13" t="s">
        <v>53</v>
      </c>
      <c r="I13" s="3">
        <v>4619.6099999999997</v>
      </c>
      <c r="J13" t="s">
        <v>20</v>
      </c>
      <c r="K13" s="4">
        <v>0.7</v>
      </c>
      <c r="L13" s="3">
        <f t="shared" si="0"/>
        <v>3233.7269999999994</v>
      </c>
      <c r="M13" s="3">
        <f t="shared" si="1"/>
        <v>1385.883</v>
      </c>
      <c r="N13">
        <f t="shared" si="2"/>
        <v>5</v>
      </c>
      <c r="O13" s="3">
        <f t="shared" si="3"/>
        <v>0</v>
      </c>
      <c r="P13" t="str" cm="1">
        <f t="array" ref="P13">_xlfn.IFS(C13&lt;18, "Under 18", C13&lt;36, "Btw 18&amp;35", C13&lt;51, "Btw 36&amp;50", C13&lt;66, "Btw 51&amp;65", C13&gt;=66," 66&amp;Above")</f>
        <v xml:space="preserve"> 66&amp;Above</v>
      </c>
    </row>
    <row r="14" spans="1:16">
      <c r="A14" t="s">
        <v>54</v>
      </c>
      <c r="B14" t="s">
        <v>55</v>
      </c>
      <c r="C14">
        <v>40</v>
      </c>
      <c r="D14" t="s">
        <v>12</v>
      </c>
      <c r="E14" s="2">
        <v>45500</v>
      </c>
      <c r="F14" s="2">
        <v>45502</v>
      </c>
      <c r="G14" t="s">
        <v>23</v>
      </c>
      <c r="H14" t="s">
        <v>24</v>
      </c>
      <c r="I14" s="3">
        <v>3367.87</v>
      </c>
      <c r="J14" t="s">
        <v>15</v>
      </c>
      <c r="K14" s="4">
        <v>0.9</v>
      </c>
      <c r="L14" s="3">
        <f t="shared" si="0"/>
        <v>3031.0830000000001</v>
      </c>
      <c r="M14" s="3">
        <f t="shared" si="1"/>
        <v>336.78699999999992</v>
      </c>
      <c r="N14">
        <f t="shared" si="2"/>
        <v>2</v>
      </c>
      <c r="O14" s="3">
        <f t="shared" si="3"/>
        <v>3367.87</v>
      </c>
      <c r="P14" t="str" cm="1">
        <f t="array" ref="P14">_xlfn.IFS(C14&lt;18, "Under 18", C14&lt;36, "Btw 18&amp;35", C14&lt;51, "Btw 36&amp;50", C14&lt;66, "Btw 51&amp;65", C14&gt;=66," 66&amp;Above")</f>
        <v>Btw 36&amp;50</v>
      </c>
    </row>
    <row r="15" spans="1:16">
      <c r="A15" t="s">
        <v>56</v>
      </c>
      <c r="B15" t="s">
        <v>57</v>
      </c>
      <c r="C15">
        <v>24</v>
      </c>
      <c r="D15" t="s">
        <v>12</v>
      </c>
      <c r="E15" s="2">
        <v>45524</v>
      </c>
      <c r="F15" s="2">
        <v>45526</v>
      </c>
      <c r="G15" t="s">
        <v>31</v>
      </c>
      <c r="H15" t="s">
        <v>35</v>
      </c>
      <c r="I15" s="3">
        <v>2287.25</v>
      </c>
      <c r="J15" t="s">
        <v>15</v>
      </c>
      <c r="K15" s="4">
        <v>0.6</v>
      </c>
      <c r="L15" s="3">
        <f t="shared" si="0"/>
        <v>1372.35</v>
      </c>
      <c r="M15" s="3">
        <f t="shared" si="1"/>
        <v>914.90000000000009</v>
      </c>
      <c r="N15">
        <f t="shared" si="2"/>
        <v>2</v>
      </c>
      <c r="O15" s="3">
        <f t="shared" si="3"/>
        <v>2287.25</v>
      </c>
      <c r="P15" t="str" cm="1">
        <f t="array" ref="P15">_xlfn.IFS(C15&lt;18, "Under 18", C15&lt;36, "Btw 18&amp;35", C15&lt;51, "Btw 36&amp;50", C15&lt;66, "Btw 51&amp;65", C15&gt;=66," 66&amp;Above")</f>
        <v>Btw 18&amp;35</v>
      </c>
    </row>
    <row r="16" spans="1:16">
      <c r="A16" t="s">
        <v>58</v>
      </c>
      <c r="B16" t="s">
        <v>59</v>
      </c>
      <c r="C16">
        <v>67</v>
      </c>
      <c r="D16" t="s">
        <v>18</v>
      </c>
      <c r="E16" s="2">
        <v>46003</v>
      </c>
      <c r="F16" s="2">
        <v>46012</v>
      </c>
      <c r="G16" t="s">
        <v>60</v>
      </c>
      <c r="H16" t="s">
        <v>61</v>
      </c>
      <c r="I16" s="3">
        <v>12489.51</v>
      </c>
      <c r="J16" t="s">
        <v>15</v>
      </c>
      <c r="K16" s="4">
        <v>1</v>
      </c>
      <c r="L16" s="3">
        <f t="shared" si="0"/>
        <v>12489.51</v>
      </c>
      <c r="M16" s="3">
        <f t="shared" si="1"/>
        <v>0</v>
      </c>
      <c r="N16">
        <f t="shared" si="2"/>
        <v>9</v>
      </c>
      <c r="O16" s="3">
        <f t="shared" si="3"/>
        <v>12489.51</v>
      </c>
      <c r="P16" t="str" cm="1">
        <f t="array" ref="P16">_xlfn.IFS(C16&lt;18, "Under 18", C16&lt;36, "Btw 18&amp;35", C16&lt;51, "Btw 36&amp;50", C16&lt;66, "Btw 51&amp;65", C16&gt;=66," 66&amp;Above")</f>
        <v xml:space="preserve"> 66&amp;Above</v>
      </c>
    </row>
    <row r="17" spans="1:16">
      <c r="A17" t="s">
        <v>62</v>
      </c>
      <c r="B17" t="s">
        <v>63</v>
      </c>
      <c r="C17">
        <v>70</v>
      </c>
      <c r="D17" t="s">
        <v>18</v>
      </c>
      <c r="E17" s="2">
        <v>45695</v>
      </c>
      <c r="F17" s="2">
        <v>45701</v>
      </c>
      <c r="G17" t="s">
        <v>31</v>
      </c>
      <c r="H17" t="s">
        <v>35</v>
      </c>
      <c r="I17" s="3">
        <v>4262.21</v>
      </c>
      <c r="J17" t="s">
        <v>15</v>
      </c>
      <c r="K17" s="4">
        <v>1</v>
      </c>
      <c r="L17" s="3">
        <f t="shared" si="0"/>
        <v>4262.21</v>
      </c>
      <c r="M17" s="3">
        <f t="shared" si="1"/>
        <v>0</v>
      </c>
      <c r="N17">
        <f t="shared" si="2"/>
        <v>6</v>
      </c>
      <c r="O17" s="3">
        <f t="shared" si="3"/>
        <v>4262.21</v>
      </c>
      <c r="P17" t="str" cm="1">
        <f t="array" ref="P17">_xlfn.IFS(C17&lt;18, "Under 18", C17&lt;36, "Btw 18&amp;35", C17&lt;51, "Btw 36&amp;50", C17&lt;66, "Btw 51&amp;65", C17&gt;=66," 66&amp;Above")</f>
        <v xml:space="preserve"> 66&amp;Above</v>
      </c>
    </row>
    <row r="18" spans="1:16">
      <c r="A18" t="s">
        <v>64</v>
      </c>
      <c r="B18" t="s">
        <v>65</v>
      </c>
      <c r="C18">
        <v>38</v>
      </c>
      <c r="D18" t="s">
        <v>12</v>
      </c>
      <c r="E18" s="2">
        <v>45528</v>
      </c>
      <c r="F18" s="2">
        <v>45532</v>
      </c>
      <c r="G18" t="s">
        <v>31</v>
      </c>
      <c r="H18" t="s">
        <v>35</v>
      </c>
      <c r="I18" s="3">
        <v>5523.81</v>
      </c>
      <c r="J18" t="s">
        <v>20</v>
      </c>
      <c r="K18" s="4">
        <v>0.7</v>
      </c>
      <c r="L18" s="3">
        <f t="shared" si="0"/>
        <v>3866.6669999999999</v>
      </c>
      <c r="M18" s="3">
        <f t="shared" si="1"/>
        <v>1657.1430000000003</v>
      </c>
      <c r="N18">
        <f t="shared" si="2"/>
        <v>4</v>
      </c>
      <c r="O18" s="3">
        <f t="shared" si="3"/>
        <v>0</v>
      </c>
      <c r="P18" t="str" cm="1">
        <f t="array" ref="P18">_xlfn.IFS(C18&lt;18, "Under 18", C18&lt;36, "Btw 18&amp;35", C18&lt;51, "Btw 36&amp;50", C18&lt;66, "Btw 51&amp;65", C18&gt;=66," 66&amp;Above")</f>
        <v>Btw 36&amp;50</v>
      </c>
    </row>
    <row r="19" spans="1:16">
      <c r="A19" t="s">
        <v>66</v>
      </c>
      <c r="B19" t="s">
        <v>67</v>
      </c>
      <c r="C19">
        <v>81</v>
      </c>
      <c r="D19" t="s">
        <v>18</v>
      </c>
      <c r="E19" s="2">
        <v>45439</v>
      </c>
      <c r="F19" s="2">
        <v>45441</v>
      </c>
      <c r="G19" t="s">
        <v>31</v>
      </c>
      <c r="H19" t="s">
        <v>32</v>
      </c>
      <c r="I19" s="3">
        <v>1097.76</v>
      </c>
      <c r="J19" t="s">
        <v>15</v>
      </c>
      <c r="K19" s="4">
        <v>0.8</v>
      </c>
      <c r="L19" s="3">
        <f t="shared" si="0"/>
        <v>878.20800000000008</v>
      </c>
      <c r="M19" s="3">
        <f t="shared" si="1"/>
        <v>219.55199999999994</v>
      </c>
      <c r="N19">
        <f t="shared" si="2"/>
        <v>2</v>
      </c>
      <c r="O19" s="3">
        <f t="shared" si="3"/>
        <v>1097.76</v>
      </c>
      <c r="P19" t="str" cm="1">
        <f t="array" ref="P19">_xlfn.IFS(C19&lt;18, "Under 18", C19&lt;36, "Btw 18&amp;35", C19&lt;51, "Btw 36&amp;50", C19&lt;66, "Btw 51&amp;65", C19&gt;=66," 66&amp;Above")</f>
        <v xml:space="preserve"> 66&amp;Above</v>
      </c>
    </row>
    <row r="20" spans="1:16">
      <c r="A20" t="s">
        <v>68</v>
      </c>
      <c r="B20" t="s">
        <v>69</v>
      </c>
      <c r="C20">
        <v>35</v>
      </c>
      <c r="D20" t="s">
        <v>18</v>
      </c>
      <c r="E20" s="2">
        <v>45649</v>
      </c>
      <c r="F20" s="2">
        <v>45655</v>
      </c>
      <c r="G20" t="s">
        <v>70</v>
      </c>
      <c r="H20" t="s">
        <v>71</v>
      </c>
      <c r="I20" s="3">
        <v>14272.73</v>
      </c>
      <c r="J20" t="s">
        <v>20</v>
      </c>
      <c r="K20" s="4">
        <v>0.8</v>
      </c>
      <c r="L20" s="3">
        <f t="shared" si="0"/>
        <v>11418.184000000001</v>
      </c>
      <c r="M20" s="3">
        <f t="shared" si="1"/>
        <v>2854.5459999999994</v>
      </c>
      <c r="N20">
        <f t="shared" si="2"/>
        <v>6</v>
      </c>
      <c r="O20" s="3">
        <f t="shared" si="3"/>
        <v>0</v>
      </c>
      <c r="P20" t="str" cm="1">
        <f t="array" ref="P20">_xlfn.IFS(C20&lt;18, "Under 18", C20&lt;36, "Btw 18&amp;35", C20&lt;51, "Btw 36&amp;50", C20&lt;66, "Btw 51&amp;65", C20&gt;=66," 66&amp;Above")</f>
        <v>Btw 18&amp;35</v>
      </c>
    </row>
    <row r="21" spans="1:16">
      <c r="A21" t="s">
        <v>72</v>
      </c>
      <c r="B21" t="s">
        <v>73</v>
      </c>
      <c r="C21">
        <v>42</v>
      </c>
      <c r="D21" t="s">
        <v>18</v>
      </c>
      <c r="E21" s="2">
        <v>45804</v>
      </c>
      <c r="F21" s="2">
        <v>45817</v>
      </c>
      <c r="G21" t="s">
        <v>60</v>
      </c>
      <c r="H21" t="s">
        <v>74</v>
      </c>
      <c r="I21" s="3">
        <v>18429.310000000001</v>
      </c>
      <c r="J21" t="s">
        <v>15</v>
      </c>
      <c r="K21" s="4">
        <v>1</v>
      </c>
      <c r="L21" s="3">
        <f t="shared" si="0"/>
        <v>18429.310000000001</v>
      </c>
      <c r="M21" s="3">
        <f t="shared" si="1"/>
        <v>0</v>
      </c>
      <c r="N21">
        <f t="shared" si="2"/>
        <v>13</v>
      </c>
      <c r="O21" s="3">
        <f t="shared" si="3"/>
        <v>18429.310000000001</v>
      </c>
      <c r="P21" t="str" cm="1">
        <f t="array" ref="P21">_xlfn.IFS(C21&lt;18, "Under 18", C21&lt;36, "Btw 18&amp;35", C21&lt;51, "Btw 36&amp;50", C21&lt;66, "Btw 51&amp;65", C21&gt;=66," 66&amp;Above")</f>
        <v>Btw 36&amp;50</v>
      </c>
    </row>
    <row r="22" spans="1:16">
      <c r="A22" t="s">
        <v>75</v>
      </c>
      <c r="B22" t="s">
        <v>76</v>
      </c>
      <c r="C22">
        <v>36</v>
      </c>
      <c r="D22" t="s">
        <v>12</v>
      </c>
      <c r="E22" s="2">
        <v>45952</v>
      </c>
      <c r="F22" s="2">
        <v>45958</v>
      </c>
      <c r="G22" t="s">
        <v>60</v>
      </c>
      <c r="H22" t="s">
        <v>77</v>
      </c>
      <c r="I22" s="3">
        <v>11481.03</v>
      </c>
      <c r="J22" t="s">
        <v>20</v>
      </c>
      <c r="K22" s="4">
        <v>0.8</v>
      </c>
      <c r="L22" s="3">
        <f t="shared" si="0"/>
        <v>9184.8240000000005</v>
      </c>
      <c r="M22" s="3">
        <f t="shared" si="1"/>
        <v>2296.2059999999997</v>
      </c>
      <c r="N22">
        <f t="shared" si="2"/>
        <v>6</v>
      </c>
      <c r="O22" s="3">
        <f t="shared" si="3"/>
        <v>0</v>
      </c>
      <c r="P22" t="str" cm="1">
        <f t="array" ref="P22">_xlfn.IFS(C22&lt;18, "Under 18", C22&lt;36, "Btw 18&amp;35", C22&lt;51, "Btw 36&amp;50", C22&lt;66, "Btw 51&amp;65", C22&gt;=66," 66&amp;Above")</f>
        <v>Btw 36&amp;50</v>
      </c>
    </row>
    <row r="23" spans="1:16">
      <c r="A23" t="s">
        <v>78</v>
      </c>
      <c r="B23" t="s">
        <v>79</v>
      </c>
      <c r="C23">
        <v>67</v>
      </c>
      <c r="D23" t="s">
        <v>18</v>
      </c>
      <c r="E23" s="2">
        <v>45699</v>
      </c>
      <c r="F23" s="2">
        <v>45702</v>
      </c>
      <c r="G23" t="s">
        <v>13</v>
      </c>
      <c r="H23" t="s">
        <v>14</v>
      </c>
      <c r="I23" s="3">
        <v>6324.27</v>
      </c>
      <c r="J23" t="s">
        <v>15</v>
      </c>
      <c r="K23" s="4">
        <v>0.8</v>
      </c>
      <c r="L23" s="3">
        <f t="shared" si="0"/>
        <v>5059.4160000000011</v>
      </c>
      <c r="M23" s="3">
        <f t="shared" si="1"/>
        <v>1264.8539999999998</v>
      </c>
      <c r="N23">
        <f t="shared" si="2"/>
        <v>3</v>
      </c>
      <c r="O23" s="3">
        <f t="shared" si="3"/>
        <v>6324.27</v>
      </c>
      <c r="P23" t="str" cm="1">
        <f t="array" ref="P23">_xlfn.IFS(C23&lt;18, "Under 18", C23&lt;36, "Btw 18&amp;35", C23&lt;51, "Btw 36&amp;50", C23&lt;66, "Btw 51&amp;65", C23&gt;=66," 66&amp;Above")</f>
        <v xml:space="preserve"> 66&amp;Above</v>
      </c>
    </row>
    <row r="24" spans="1:16">
      <c r="A24" t="s">
        <v>80</v>
      </c>
      <c r="B24" t="s">
        <v>81</v>
      </c>
      <c r="C24">
        <v>23</v>
      </c>
      <c r="D24" t="s">
        <v>12</v>
      </c>
      <c r="E24" s="2">
        <v>45613</v>
      </c>
      <c r="F24" s="2">
        <v>45614</v>
      </c>
      <c r="G24" t="s">
        <v>23</v>
      </c>
      <c r="H24" t="s">
        <v>82</v>
      </c>
      <c r="I24" s="3">
        <v>1888.07</v>
      </c>
      <c r="J24" t="s">
        <v>25</v>
      </c>
      <c r="K24" s="4">
        <v>0.8</v>
      </c>
      <c r="L24" s="3">
        <f t="shared" si="0"/>
        <v>1510.4560000000001</v>
      </c>
      <c r="M24" s="3">
        <f t="shared" si="1"/>
        <v>377.61399999999992</v>
      </c>
      <c r="N24">
        <f t="shared" si="2"/>
        <v>1</v>
      </c>
      <c r="O24" s="3">
        <f t="shared" si="3"/>
        <v>0</v>
      </c>
      <c r="P24" t="str" cm="1">
        <f t="array" ref="P24">_xlfn.IFS(C24&lt;18, "Under 18", C24&lt;36, "Btw 18&amp;35", C24&lt;51, "Btw 36&amp;50", C24&lt;66, "Btw 51&amp;65", C24&gt;=66," 66&amp;Above")</f>
        <v>Btw 18&amp;35</v>
      </c>
    </row>
    <row r="25" spans="1:16">
      <c r="A25" t="s">
        <v>83</v>
      </c>
      <c r="B25" t="s">
        <v>84</v>
      </c>
      <c r="C25">
        <v>66</v>
      </c>
      <c r="D25" t="s">
        <v>18</v>
      </c>
      <c r="E25" s="2">
        <v>45370</v>
      </c>
      <c r="F25" s="2">
        <v>45378</v>
      </c>
      <c r="G25" t="s">
        <v>13</v>
      </c>
      <c r="H25" t="s">
        <v>14</v>
      </c>
      <c r="I25" s="3">
        <v>21654.18</v>
      </c>
      <c r="J25" t="s">
        <v>15</v>
      </c>
      <c r="K25" s="4">
        <v>0.7</v>
      </c>
      <c r="L25" s="3">
        <f t="shared" si="0"/>
        <v>15157.925999999999</v>
      </c>
      <c r="M25" s="3">
        <f t="shared" si="1"/>
        <v>6496.2540000000008</v>
      </c>
      <c r="N25">
        <f t="shared" si="2"/>
        <v>8</v>
      </c>
      <c r="O25" s="3">
        <f t="shared" si="3"/>
        <v>21654.18</v>
      </c>
      <c r="P25" t="str" cm="1">
        <f t="array" ref="P25">_xlfn.IFS(C25&lt;18, "Under 18", C25&lt;36, "Btw 18&amp;35", C25&lt;51, "Btw 36&amp;50", C25&lt;66, "Btw 51&amp;65", C25&gt;=66," 66&amp;Above")</f>
        <v xml:space="preserve"> 66&amp;Above</v>
      </c>
    </row>
    <row r="26" spans="1:16">
      <c r="A26" t="s">
        <v>85</v>
      </c>
      <c r="B26" t="s">
        <v>86</v>
      </c>
      <c r="C26">
        <v>57</v>
      </c>
      <c r="D26" t="s">
        <v>18</v>
      </c>
      <c r="E26" s="2">
        <v>45706</v>
      </c>
      <c r="F26" s="2">
        <v>45709</v>
      </c>
      <c r="G26" t="s">
        <v>31</v>
      </c>
      <c r="H26" t="s">
        <v>87</v>
      </c>
      <c r="I26" s="3">
        <v>2641.14</v>
      </c>
      <c r="J26" t="s">
        <v>15</v>
      </c>
      <c r="K26" s="4">
        <v>1</v>
      </c>
      <c r="L26" s="3">
        <f t="shared" si="0"/>
        <v>2641.14</v>
      </c>
      <c r="M26" s="3">
        <f t="shared" si="1"/>
        <v>0</v>
      </c>
      <c r="N26">
        <f t="shared" si="2"/>
        <v>3</v>
      </c>
      <c r="O26" s="3">
        <f t="shared" si="3"/>
        <v>2641.14</v>
      </c>
      <c r="P26" t="str" cm="1">
        <f t="array" ref="P26">_xlfn.IFS(C26&lt;18, "Under 18", C26&lt;36, "Btw 18&amp;35", C26&lt;51, "Btw 36&amp;50", C26&lt;66, "Btw 51&amp;65", C26&gt;=66," 66&amp;Above")</f>
        <v>Btw 51&amp;65</v>
      </c>
    </row>
    <row r="27" spans="1:16">
      <c r="A27" t="s">
        <v>88</v>
      </c>
      <c r="B27" t="s">
        <v>89</v>
      </c>
      <c r="C27">
        <v>44</v>
      </c>
      <c r="D27" t="s">
        <v>12</v>
      </c>
      <c r="E27" s="2">
        <v>45463</v>
      </c>
      <c r="F27" s="2">
        <v>45467</v>
      </c>
      <c r="G27" t="s">
        <v>31</v>
      </c>
      <c r="H27" t="s">
        <v>53</v>
      </c>
      <c r="I27" s="3">
        <v>5522.03</v>
      </c>
      <c r="J27" t="s">
        <v>25</v>
      </c>
      <c r="K27" s="4">
        <v>0</v>
      </c>
      <c r="L27" s="3">
        <f t="shared" si="0"/>
        <v>0</v>
      </c>
      <c r="M27" s="3">
        <f t="shared" si="1"/>
        <v>5522.03</v>
      </c>
      <c r="N27">
        <f t="shared" si="2"/>
        <v>4</v>
      </c>
      <c r="O27" s="3">
        <f t="shared" si="3"/>
        <v>0</v>
      </c>
      <c r="P27" t="str" cm="1">
        <f t="array" ref="P27">_xlfn.IFS(C27&lt;18, "Under 18", C27&lt;36, "Btw 18&amp;35", C27&lt;51, "Btw 36&amp;50", C27&lt;66, "Btw 51&amp;65", C27&gt;=66," 66&amp;Above")</f>
        <v>Btw 36&amp;50</v>
      </c>
    </row>
    <row r="28" spans="1:16">
      <c r="A28" t="s">
        <v>90</v>
      </c>
      <c r="B28" t="s">
        <v>91</v>
      </c>
      <c r="C28">
        <v>58</v>
      </c>
      <c r="D28" t="s">
        <v>12</v>
      </c>
      <c r="E28" s="2">
        <v>45446</v>
      </c>
      <c r="F28" s="2">
        <v>45451</v>
      </c>
      <c r="G28" t="s">
        <v>13</v>
      </c>
      <c r="H28" t="s">
        <v>38</v>
      </c>
      <c r="I28" s="3">
        <v>8789.32</v>
      </c>
      <c r="J28" t="s">
        <v>20</v>
      </c>
      <c r="K28" s="4">
        <v>0.9</v>
      </c>
      <c r="L28" s="3">
        <f t="shared" si="0"/>
        <v>7910.3879999999999</v>
      </c>
      <c r="M28" s="3">
        <f t="shared" si="1"/>
        <v>878.93199999999979</v>
      </c>
      <c r="N28">
        <f t="shared" si="2"/>
        <v>5</v>
      </c>
      <c r="O28" s="3">
        <f t="shared" si="3"/>
        <v>0</v>
      </c>
      <c r="P28" t="str" cm="1">
        <f t="array" ref="P28">_xlfn.IFS(C28&lt;18, "Under 18", C28&lt;36, "Btw 18&amp;35", C28&lt;51, "Btw 36&amp;50", C28&lt;66, "Btw 51&amp;65", C28&gt;=66," 66&amp;Above")</f>
        <v>Btw 51&amp;65</v>
      </c>
    </row>
    <row r="29" spans="1:16">
      <c r="A29" t="s">
        <v>92</v>
      </c>
      <c r="B29" t="s">
        <v>93</v>
      </c>
      <c r="C29">
        <v>62</v>
      </c>
      <c r="D29" t="s">
        <v>12</v>
      </c>
      <c r="E29" s="2">
        <v>45682</v>
      </c>
      <c r="F29" s="2">
        <v>45687</v>
      </c>
      <c r="G29" t="s">
        <v>70</v>
      </c>
      <c r="H29" t="s">
        <v>94</v>
      </c>
      <c r="I29" s="3">
        <v>7969.42</v>
      </c>
      <c r="J29" t="s">
        <v>15</v>
      </c>
      <c r="K29" s="4">
        <v>1</v>
      </c>
      <c r="L29" s="3">
        <f t="shared" si="0"/>
        <v>7969.42</v>
      </c>
      <c r="M29" s="3">
        <f t="shared" si="1"/>
        <v>0</v>
      </c>
      <c r="N29">
        <f t="shared" si="2"/>
        <v>5</v>
      </c>
      <c r="O29" s="3">
        <f t="shared" si="3"/>
        <v>7969.42</v>
      </c>
      <c r="P29" t="str" cm="1">
        <f t="array" ref="P29">_xlfn.IFS(C29&lt;18, "Under 18", C29&lt;36, "Btw 18&amp;35", C29&lt;51, "Btw 36&amp;50", C29&lt;66, "Btw 51&amp;65", C29&gt;=66," 66&amp;Above")</f>
        <v>Btw 51&amp;65</v>
      </c>
    </row>
    <row r="30" spans="1:16">
      <c r="A30" t="s">
        <v>95</v>
      </c>
      <c r="B30" t="s">
        <v>96</v>
      </c>
      <c r="C30">
        <v>52</v>
      </c>
      <c r="D30" t="s">
        <v>12</v>
      </c>
      <c r="E30" s="2">
        <v>45753</v>
      </c>
      <c r="F30" s="2">
        <v>45759</v>
      </c>
      <c r="G30" t="s">
        <v>60</v>
      </c>
      <c r="H30" t="s">
        <v>97</v>
      </c>
      <c r="I30" s="3">
        <v>7929.71</v>
      </c>
      <c r="J30" t="s">
        <v>15</v>
      </c>
      <c r="K30" s="4">
        <v>0.9</v>
      </c>
      <c r="L30" s="3">
        <f t="shared" si="0"/>
        <v>7136.7390000000005</v>
      </c>
      <c r="M30" s="3">
        <f t="shared" si="1"/>
        <v>792.97099999999978</v>
      </c>
      <c r="N30">
        <f t="shared" si="2"/>
        <v>6</v>
      </c>
      <c r="O30" s="3">
        <f t="shared" si="3"/>
        <v>7929.71</v>
      </c>
      <c r="P30" t="str" cm="1">
        <f t="array" ref="P30">_xlfn.IFS(C30&lt;18, "Under 18", C30&lt;36, "Btw 18&amp;35", C30&lt;51, "Btw 36&amp;50", C30&lt;66, "Btw 51&amp;65", C30&gt;=66," 66&amp;Above")</f>
        <v>Btw 51&amp;65</v>
      </c>
    </row>
    <row r="31" spans="1:16">
      <c r="A31" t="s">
        <v>98</v>
      </c>
      <c r="B31" t="s">
        <v>99</v>
      </c>
      <c r="C31">
        <v>35</v>
      </c>
      <c r="D31" t="s">
        <v>18</v>
      </c>
      <c r="E31" s="2">
        <v>45566</v>
      </c>
      <c r="F31" s="2">
        <v>45569</v>
      </c>
      <c r="G31" t="s">
        <v>23</v>
      </c>
      <c r="H31" t="s">
        <v>28</v>
      </c>
      <c r="I31" s="3">
        <v>4772.8900000000003</v>
      </c>
      <c r="J31" t="s">
        <v>15</v>
      </c>
      <c r="K31" s="4">
        <v>0.9</v>
      </c>
      <c r="L31" s="3">
        <f t="shared" si="0"/>
        <v>4295.6010000000006</v>
      </c>
      <c r="M31" s="3">
        <f t="shared" si="1"/>
        <v>477.28899999999993</v>
      </c>
      <c r="N31">
        <f t="shared" si="2"/>
        <v>3</v>
      </c>
      <c r="O31" s="3">
        <f t="shared" si="3"/>
        <v>4772.8900000000003</v>
      </c>
      <c r="P31" t="str" cm="1">
        <f t="array" ref="P31">_xlfn.IFS(C31&lt;18, "Under 18", C31&lt;36, "Btw 18&amp;35", C31&lt;51, "Btw 36&amp;50", C31&lt;66, "Btw 51&amp;65", C31&gt;=66," 66&amp;Above")</f>
        <v>Btw 18&amp;35</v>
      </c>
    </row>
    <row r="32" spans="1:16">
      <c r="A32" t="s">
        <v>100</v>
      </c>
      <c r="B32" t="s">
        <v>101</v>
      </c>
      <c r="C32">
        <v>79</v>
      </c>
      <c r="D32" t="s">
        <v>18</v>
      </c>
      <c r="E32" s="2">
        <v>45466</v>
      </c>
      <c r="F32" s="2">
        <v>45469</v>
      </c>
      <c r="G32" t="s">
        <v>13</v>
      </c>
      <c r="H32" t="s">
        <v>102</v>
      </c>
      <c r="I32" s="3">
        <v>6826.49</v>
      </c>
      <c r="J32" t="s">
        <v>15</v>
      </c>
      <c r="K32" s="4">
        <v>0.8</v>
      </c>
      <c r="L32" s="3">
        <f t="shared" si="0"/>
        <v>5461.192</v>
      </c>
      <c r="M32" s="3">
        <f t="shared" si="1"/>
        <v>1365.2979999999995</v>
      </c>
      <c r="N32">
        <f t="shared" si="2"/>
        <v>3</v>
      </c>
      <c r="O32" s="3">
        <f t="shared" si="3"/>
        <v>6826.49</v>
      </c>
      <c r="P32" t="str" cm="1">
        <f t="array" ref="P32">_xlfn.IFS(C32&lt;18, "Under 18", C32&lt;36, "Btw 18&amp;35", C32&lt;51, "Btw 36&amp;50", C32&lt;66, "Btw 51&amp;65", C32&gt;=66," 66&amp;Above")</f>
        <v xml:space="preserve"> 66&amp;Above</v>
      </c>
    </row>
    <row r="33" spans="1:16">
      <c r="A33" t="s">
        <v>103</v>
      </c>
      <c r="B33" t="s">
        <v>104</v>
      </c>
      <c r="C33">
        <v>69</v>
      </c>
      <c r="D33" t="s">
        <v>18</v>
      </c>
      <c r="E33" s="2">
        <v>45371</v>
      </c>
      <c r="F33" s="2">
        <v>45373</v>
      </c>
      <c r="G33" t="s">
        <v>31</v>
      </c>
      <c r="H33" t="s">
        <v>32</v>
      </c>
      <c r="I33" s="3">
        <v>2177.7800000000002</v>
      </c>
      <c r="J33" t="s">
        <v>25</v>
      </c>
      <c r="K33" s="4">
        <v>0.9</v>
      </c>
      <c r="L33" s="3">
        <f t="shared" si="0"/>
        <v>1960.0020000000002</v>
      </c>
      <c r="M33" s="3">
        <f t="shared" si="1"/>
        <v>217.77799999999996</v>
      </c>
      <c r="N33">
        <f t="shared" si="2"/>
        <v>2</v>
      </c>
      <c r="O33" s="3">
        <f t="shared" si="3"/>
        <v>0</v>
      </c>
      <c r="P33" t="str" cm="1">
        <f t="array" ref="P33">_xlfn.IFS(C33&lt;18, "Under 18", C33&lt;36, "Btw 18&amp;35", C33&lt;51, "Btw 36&amp;50", C33&lt;66, "Btw 51&amp;65", C33&gt;=66," 66&amp;Above")</f>
        <v xml:space="preserve"> 66&amp;Above</v>
      </c>
    </row>
    <row r="34" spans="1:16">
      <c r="A34" t="s">
        <v>105</v>
      </c>
      <c r="B34" t="s">
        <v>106</v>
      </c>
      <c r="C34">
        <v>21</v>
      </c>
      <c r="D34" t="s">
        <v>18</v>
      </c>
      <c r="E34" s="2">
        <v>45798</v>
      </c>
      <c r="F34" s="2">
        <v>45800</v>
      </c>
      <c r="G34" t="s">
        <v>23</v>
      </c>
      <c r="H34" t="s">
        <v>28</v>
      </c>
      <c r="I34" s="3">
        <v>3527.3</v>
      </c>
      <c r="J34" t="s">
        <v>25</v>
      </c>
      <c r="K34" s="4">
        <v>0</v>
      </c>
      <c r="L34" s="3">
        <f t="shared" si="0"/>
        <v>0</v>
      </c>
      <c r="M34" s="3">
        <f t="shared" si="1"/>
        <v>3527.3</v>
      </c>
      <c r="N34">
        <f t="shared" si="2"/>
        <v>2</v>
      </c>
      <c r="O34" s="3">
        <f t="shared" si="3"/>
        <v>0</v>
      </c>
      <c r="P34" t="str" cm="1">
        <f t="array" ref="P34">_xlfn.IFS(C34&lt;18, "Under 18", C34&lt;36, "Btw 18&amp;35", C34&lt;51, "Btw 36&amp;50", C34&lt;66, "Btw 51&amp;65", C34&gt;=66," 66&amp;Above")</f>
        <v>Btw 18&amp;35</v>
      </c>
    </row>
    <row r="35" spans="1:16">
      <c r="A35" t="s">
        <v>107</v>
      </c>
      <c r="B35" t="s">
        <v>108</v>
      </c>
      <c r="C35">
        <v>49</v>
      </c>
      <c r="D35" t="s">
        <v>12</v>
      </c>
      <c r="E35" s="2">
        <v>45945</v>
      </c>
      <c r="F35" s="2">
        <v>45946</v>
      </c>
      <c r="G35" t="s">
        <v>23</v>
      </c>
      <c r="H35" t="s">
        <v>28</v>
      </c>
      <c r="I35" s="3">
        <v>1184.01</v>
      </c>
      <c r="J35" t="s">
        <v>15</v>
      </c>
      <c r="K35" s="4">
        <v>1</v>
      </c>
      <c r="L35" s="3">
        <f t="shared" si="0"/>
        <v>1184.01</v>
      </c>
      <c r="M35" s="3">
        <f t="shared" si="1"/>
        <v>0</v>
      </c>
      <c r="N35">
        <f t="shared" si="2"/>
        <v>1</v>
      </c>
      <c r="O35" s="3">
        <f t="shared" si="3"/>
        <v>1184.01</v>
      </c>
      <c r="P35" t="str" cm="1">
        <f t="array" ref="P35">_xlfn.IFS(C35&lt;18, "Under 18", C35&lt;36, "Btw 18&amp;35", C35&lt;51, "Btw 36&amp;50", C35&lt;66, "Btw 51&amp;65", C35&gt;=66," 66&amp;Above")</f>
        <v>Btw 36&amp;50</v>
      </c>
    </row>
    <row r="36" spans="1:16">
      <c r="A36" t="s">
        <v>109</v>
      </c>
      <c r="B36" t="s">
        <v>110</v>
      </c>
      <c r="C36">
        <v>61</v>
      </c>
      <c r="D36" t="s">
        <v>12</v>
      </c>
      <c r="E36" s="2">
        <v>45737</v>
      </c>
      <c r="F36" s="2">
        <v>45742</v>
      </c>
      <c r="G36" t="s">
        <v>13</v>
      </c>
      <c r="H36" t="s">
        <v>111</v>
      </c>
      <c r="I36" s="3">
        <v>10760.65</v>
      </c>
      <c r="J36" t="s">
        <v>15</v>
      </c>
      <c r="K36" s="4">
        <v>1</v>
      </c>
      <c r="L36" s="3">
        <f t="shared" si="0"/>
        <v>10760.65</v>
      </c>
      <c r="M36" s="3">
        <f t="shared" si="1"/>
        <v>0</v>
      </c>
      <c r="N36">
        <f t="shared" si="2"/>
        <v>5</v>
      </c>
      <c r="O36" s="3">
        <f t="shared" si="3"/>
        <v>10760.65</v>
      </c>
      <c r="P36" t="str" cm="1">
        <f t="array" ref="P36">_xlfn.IFS(C36&lt;18, "Under 18", C36&lt;36, "Btw 18&amp;35", C36&lt;51, "Btw 36&amp;50", C36&lt;66, "Btw 51&amp;65", C36&gt;=66," 66&amp;Above")</f>
        <v>Btw 51&amp;65</v>
      </c>
    </row>
    <row r="37" spans="1:16">
      <c r="A37" t="s">
        <v>112</v>
      </c>
      <c r="B37" t="s">
        <v>113</v>
      </c>
      <c r="C37">
        <v>32</v>
      </c>
      <c r="D37" t="s">
        <v>18</v>
      </c>
      <c r="E37" s="2">
        <v>45878</v>
      </c>
      <c r="F37" s="2">
        <v>45883</v>
      </c>
      <c r="G37" t="s">
        <v>31</v>
      </c>
      <c r="H37" t="s">
        <v>114</v>
      </c>
      <c r="I37" s="3">
        <v>7422.15</v>
      </c>
      <c r="J37" t="s">
        <v>20</v>
      </c>
      <c r="K37" s="4">
        <v>0.6</v>
      </c>
      <c r="L37" s="3">
        <f t="shared" si="0"/>
        <v>4453.29</v>
      </c>
      <c r="M37" s="3">
        <f t="shared" si="1"/>
        <v>2968.86</v>
      </c>
      <c r="N37">
        <f t="shared" si="2"/>
        <v>5</v>
      </c>
      <c r="O37" s="3">
        <f t="shared" si="3"/>
        <v>0</v>
      </c>
      <c r="P37" t="str" cm="1">
        <f t="array" ref="P37">_xlfn.IFS(C37&lt;18, "Under 18", C37&lt;36, "Btw 18&amp;35", C37&lt;51, "Btw 36&amp;50", C37&lt;66, "Btw 51&amp;65", C37&gt;=66," 66&amp;Above")</f>
        <v>Btw 18&amp;35</v>
      </c>
    </row>
    <row r="38" spans="1:16">
      <c r="A38" t="s">
        <v>115</v>
      </c>
      <c r="B38" t="s">
        <v>116</v>
      </c>
      <c r="C38">
        <v>7</v>
      </c>
      <c r="D38" t="s">
        <v>18</v>
      </c>
      <c r="E38" s="2">
        <v>45811</v>
      </c>
      <c r="F38" s="2">
        <v>45816</v>
      </c>
      <c r="G38" t="s">
        <v>49</v>
      </c>
      <c r="H38" t="s">
        <v>117</v>
      </c>
      <c r="I38" s="3">
        <v>3623.14</v>
      </c>
      <c r="J38" t="s">
        <v>15</v>
      </c>
      <c r="K38" s="4">
        <v>0.5</v>
      </c>
      <c r="L38" s="3">
        <f t="shared" si="0"/>
        <v>1811.57</v>
      </c>
      <c r="M38" s="3">
        <f t="shared" si="1"/>
        <v>1811.57</v>
      </c>
      <c r="N38">
        <f t="shared" si="2"/>
        <v>5</v>
      </c>
      <c r="O38" s="3">
        <f t="shared" si="3"/>
        <v>3623.14</v>
      </c>
      <c r="P38" t="str" cm="1">
        <f t="array" ref="P38">_xlfn.IFS(C38&lt;18, "Under 18", C38&lt;36, "Btw 18&amp;35", C38&lt;51, "Btw 36&amp;50", C38&lt;66, "Btw 51&amp;65", C38&gt;=66," 66&amp;Above")</f>
        <v>Under 18</v>
      </c>
    </row>
    <row r="39" spans="1:16">
      <c r="A39" t="s">
        <v>118</v>
      </c>
      <c r="B39" t="s">
        <v>119</v>
      </c>
      <c r="C39">
        <v>7</v>
      </c>
      <c r="D39" t="s">
        <v>12</v>
      </c>
      <c r="E39" s="2">
        <v>45636</v>
      </c>
      <c r="F39" s="2">
        <v>45637</v>
      </c>
      <c r="G39" t="s">
        <v>49</v>
      </c>
      <c r="H39" t="s">
        <v>120</v>
      </c>
      <c r="I39" s="3">
        <v>946.04</v>
      </c>
      <c r="J39" t="s">
        <v>20</v>
      </c>
      <c r="K39" s="4">
        <v>0.9</v>
      </c>
      <c r="L39" s="3">
        <f t="shared" si="0"/>
        <v>851.43600000000004</v>
      </c>
      <c r="M39" s="3">
        <f t="shared" si="1"/>
        <v>94.603999999999971</v>
      </c>
      <c r="N39">
        <f t="shared" si="2"/>
        <v>1</v>
      </c>
      <c r="O39" s="3">
        <f t="shared" si="3"/>
        <v>0</v>
      </c>
      <c r="P39" t="str" cm="1">
        <f t="array" ref="P39">_xlfn.IFS(C39&lt;18, "Under 18", C39&lt;36, "Btw 18&amp;35", C39&lt;51, "Btw 36&amp;50", C39&lt;66, "Btw 51&amp;65", C39&gt;=66," 66&amp;Above")</f>
        <v>Under 18</v>
      </c>
    </row>
    <row r="40" spans="1:16">
      <c r="A40" t="s">
        <v>121</v>
      </c>
      <c r="B40" t="s">
        <v>122</v>
      </c>
      <c r="C40">
        <v>4</v>
      </c>
      <c r="D40" t="s">
        <v>12</v>
      </c>
      <c r="E40" s="2">
        <v>45952</v>
      </c>
      <c r="F40" s="2">
        <v>45955</v>
      </c>
      <c r="G40" t="s">
        <v>49</v>
      </c>
      <c r="H40" t="s">
        <v>123</v>
      </c>
      <c r="I40" s="3">
        <v>3976.01</v>
      </c>
      <c r="J40" t="s">
        <v>25</v>
      </c>
      <c r="K40" s="4">
        <v>0.6</v>
      </c>
      <c r="L40" s="3">
        <f t="shared" si="0"/>
        <v>2385.6060000000002</v>
      </c>
      <c r="M40" s="3">
        <f t="shared" si="1"/>
        <v>1590.4040000000002</v>
      </c>
      <c r="N40">
        <f t="shared" si="2"/>
        <v>3</v>
      </c>
      <c r="O40" s="3">
        <f t="shared" si="3"/>
        <v>0</v>
      </c>
      <c r="P40" t="str" cm="1">
        <f t="array" ref="P40">_xlfn.IFS(C40&lt;18, "Under 18", C40&lt;36, "Btw 18&amp;35", C40&lt;51, "Btw 36&amp;50", C40&lt;66, "Btw 51&amp;65", C40&gt;=66," 66&amp;Above")</f>
        <v>Under 18</v>
      </c>
    </row>
    <row r="41" spans="1:16">
      <c r="A41" t="s">
        <v>124</v>
      </c>
      <c r="B41" t="s">
        <v>125</v>
      </c>
      <c r="C41">
        <v>81</v>
      </c>
      <c r="D41" t="s">
        <v>18</v>
      </c>
      <c r="E41" s="2">
        <v>45643</v>
      </c>
      <c r="F41" s="2">
        <v>45652</v>
      </c>
      <c r="G41" t="s">
        <v>13</v>
      </c>
      <c r="H41" t="s">
        <v>14</v>
      </c>
      <c r="I41" s="3">
        <v>26928.32</v>
      </c>
      <c r="J41" t="s">
        <v>25</v>
      </c>
      <c r="K41" s="4">
        <v>0.7</v>
      </c>
      <c r="L41" s="3">
        <f t="shared" si="0"/>
        <v>18849.823999999997</v>
      </c>
      <c r="M41" s="3">
        <f t="shared" si="1"/>
        <v>8078.496000000001</v>
      </c>
      <c r="N41">
        <f t="shared" si="2"/>
        <v>9</v>
      </c>
      <c r="O41" s="3">
        <f t="shared" si="3"/>
        <v>0</v>
      </c>
      <c r="P41" t="str" cm="1">
        <f t="array" ref="P41">_xlfn.IFS(C41&lt;18, "Under 18", C41&lt;36, "Btw 18&amp;35", C41&lt;51, "Btw 36&amp;50", C41&lt;66, "Btw 51&amp;65", C41&gt;=66," 66&amp;Above")</f>
        <v xml:space="preserve"> 66&amp;Above</v>
      </c>
    </row>
    <row r="42" spans="1:16">
      <c r="A42" t="s">
        <v>126</v>
      </c>
      <c r="B42" t="s">
        <v>127</v>
      </c>
      <c r="C42">
        <v>81</v>
      </c>
      <c r="D42" t="s">
        <v>18</v>
      </c>
      <c r="E42" s="2">
        <v>45701</v>
      </c>
      <c r="F42" s="2">
        <v>45706</v>
      </c>
      <c r="G42" t="s">
        <v>13</v>
      </c>
      <c r="H42" t="s">
        <v>102</v>
      </c>
      <c r="I42" s="3">
        <v>7203.24</v>
      </c>
      <c r="J42" t="s">
        <v>15</v>
      </c>
      <c r="K42" s="4">
        <v>0.7</v>
      </c>
      <c r="L42" s="3">
        <f t="shared" si="0"/>
        <v>5042.2679999999991</v>
      </c>
      <c r="M42" s="3">
        <f t="shared" si="1"/>
        <v>2160.9720000000002</v>
      </c>
      <c r="N42">
        <f t="shared" si="2"/>
        <v>5</v>
      </c>
      <c r="O42" s="3">
        <f t="shared" si="3"/>
        <v>7203.24</v>
      </c>
      <c r="P42" t="str" cm="1">
        <f t="array" ref="P42">_xlfn.IFS(C42&lt;18, "Under 18", C42&lt;36, "Btw 18&amp;35", C42&lt;51, "Btw 36&amp;50", C42&lt;66, "Btw 51&amp;65", C42&gt;=66," 66&amp;Above")</f>
        <v xml:space="preserve"> 66&amp;Above</v>
      </c>
    </row>
    <row r="43" spans="1:16">
      <c r="A43" t="s">
        <v>128</v>
      </c>
      <c r="B43" t="s">
        <v>129</v>
      </c>
      <c r="C43">
        <v>14</v>
      </c>
      <c r="D43" t="s">
        <v>18</v>
      </c>
      <c r="E43" s="2">
        <v>45979</v>
      </c>
      <c r="F43" s="2">
        <v>45983</v>
      </c>
      <c r="G43" t="s">
        <v>49</v>
      </c>
      <c r="H43" t="s">
        <v>130</v>
      </c>
      <c r="I43" s="3">
        <v>5685.06</v>
      </c>
      <c r="J43" t="s">
        <v>15</v>
      </c>
      <c r="K43" s="4">
        <v>0.8</v>
      </c>
      <c r="L43" s="3">
        <f t="shared" si="0"/>
        <v>4548.0480000000007</v>
      </c>
      <c r="M43" s="3">
        <f t="shared" si="1"/>
        <v>1137.0119999999997</v>
      </c>
      <c r="N43">
        <f t="shared" si="2"/>
        <v>4</v>
      </c>
      <c r="O43" s="3">
        <f t="shared" si="3"/>
        <v>5685.06</v>
      </c>
      <c r="P43" t="str" cm="1">
        <f t="array" ref="P43">_xlfn.IFS(C43&lt;18, "Under 18", C43&lt;36, "Btw 18&amp;35", C43&lt;51, "Btw 36&amp;50", C43&lt;66, "Btw 51&amp;65", C43&gt;=66," 66&amp;Above")</f>
        <v>Under 18</v>
      </c>
    </row>
    <row r="44" spans="1:16">
      <c r="A44" t="s">
        <v>131</v>
      </c>
      <c r="B44" t="s">
        <v>132</v>
      </c>
      <c r="C44">
        <v>73</v>
      </c>
      <c r="D44" t="s">
        <v>18</v>
      </c>
      <c r="E44" s="2">
        <v>45905</v>
      </c>
      <c r="F44" s="2">
        <v>45908</v>
      </c>
      <c r="G44" t="s">
        <v>60</v>
      </c>
      <c r="H44" t="s">
        <v>133</v>
      </c>
      <c r="I44" s="3">
        <v>4949.0600000000004</v>
      </c>
      <c r="J44" t="s">
        <v>15</v>
      </c>
      <c r="K44" s="4">
        <v>0.5</v>
      </c>
      <c r="L44" s="3">
        <f t="shared" si="0"/>
        <v>2474.5300000000002</v>
      </c>
      <c r="M44" s="3">
        <f t="shared" si="1"/>
        <v>2474.5300000000002</v>
      </c>
      <c r="N44">
        <f t="shared" si="2"/>
        <v>3</v>
      </c>
      <c r="O44" s="3">
        <f t="shared" si="3"/>
        <v>4949.0600000000004</v>
      </c>
      <c r="P44" t="str" cm="1">
        <f t="array" ref="P44">_xlfn.IFS(C44&lt;18, "Under 18", C44&lt;36, "Btw 18&amp;35", C44&lt;51, "Btw 36&amp;50", C44&lt;66, "Btw 51&amp;65", C44&gt;=66," 66&amp;Above")</f>
        <v xml:space="preserve"> 66&amp;Above</v>
      </c>
    </row>
    <row r="45" spans="1:16">
      <c r="A45" t="s">
        <v>134</v>
      </c>
      <c r="B45" t="s">
        <v>81</v>
      </c>
      <c r="C45">
        <v>50</v>
      </c>
      <c r="D45" t="s">
        <v>12</v>
      </c>
      <c r="E45" s="2">
        <v>45638</v>
      </c>
      <c r="F45" s="2">
        <v>45642</v>
      </c>
      <c r="G45" t="s">
        <v>60</v>
      </c>
      <c r="H45" t="s">
        <v>77</v>
      </c>
      <c r="I45" s="3">
        <v>5586.28</v>
      </c>
      <c r="J45" t="s">
        <v>15</v>
      </c>
      <c r="K45" s="4">
        <v>0.9</v>
      </c>
      <c r="L45" s="3">
        <f t="shared" si="0"/>
        <v>5027.652</v>
      </c>
      <c r="M45" s="3">
        <f t="shared" si="1"/>
        <v>558.62799999999982</v>
      </c>
      <c r="N45">
        <f t="shared" si="2"/>
        <v>4</v>
      </c>
      <c r="O45" s="3">
        <f t="shared" si="3"/>
        <v>5586.28</v>
      </c>
      <c r="P45" t="str" cm="1">
        <f t="array" ref="P45">_xlfn.IFS(C45&lt;18, "Under 18", C45&lt;36, "Btw 18&amp;35", C45&lt;51, "Btw 36&amp;50", C45&lt;66, "Btw 51&amp;65", C45&gt;=66," 66&amp;Above")</f>
        <v>Btw 36&amp;50</v>
      </c>
    </row>
    <row r="46" spans="1:16">
      <c r="A46" t="s">
        <v>135</v>
      </c>
      <c r="B46" t="s">
        <v>136</v>
      </c>
      <c r="C46">
        <v>73</v>
      </c>
      <c r="D46" t="s">
        <v>18</v>
      </c>
      <c r="E46" s="2">
        <v>45490</v>
      </c>
      <c r="F46" s="2">
        <v>45491</v>
      </c>
      <c r="G46" t="s">
        <v>31</v>
      </c>
      <c r="H46" t="s">
        <v>53</v>
      </c>
      <c r="I46" s="3">
        <v>766.8</v>
      </c>
      <c r="J46" t="s">
        <v>20</v>
      </c>
      <c r="K46" s="4">
        <v>0.6</v>
      </c>
      <c r="L46" s="3">
        <f t="shared" si="0"/>
        <v>460.08</v>
      </c>
      <c r="M46" s="3">
        <f t="shared" si="1"/>
        <v>306.71999999999997</v>
      </c>
      <c r="N46">
        <f t="shared" si="2"/>
        <v>1</v>
      </c>
      <c r="O46" s="3">
        <f t="shared" si="3"/>
        <v>0</v>
      </c>
      <c r="P46" t="str" cm="1">
        <f t="array" ref="P46">_xlfn.IFS(C46&lt;18, "Under 18", C46&lt;36, "Btw 18&amp;35", C46&lt;51, "Btw 36&amp;50", C46&lt;66, "Btw 51&amp;65", C46&gt;=66," 66&amp;Above")</f>
        <v xml:space="preserve"> 66&amp;Above</v>
      </c>
    </row>
    <row r="47" spans="1:16">
      <c r="A47" t="s">
        <v>137</v>
      </c>
      <c r="B47" t="s">
        <v>116</v>
      </c>
      <c r="C47">
        <v>60</v>
      </c>
      <c r="D47" t="s">
        <v>18</v>
      </c>
      <c r="E47" s="2">
        <v>45425</v>
      </c>
      <c r="F47" s="2">
        <v>45438</v>
      </c>
      <c r="G47" t="s">
        <v>60</v>
      </c>
      <c r="H47" t="s">
        <v>74</v>
      </c>
      <c r="I47" s="3">
        <v>28480.18</v>
      </c>
      <c r="J47" t="s">
        <v>15</v>
      </c>
      <c r="K47" s="4">
        <v>0.7</v>
      </c>
      <c r="L47" s="3">
        <f t="shared" si="0"/>
        <v>19936.126</v>
      </c>
      <c r="M47" s="3">
        <f t="shared" si="1"/>
        <v>8544.0540000000019</v>
      </c>
      <c r="N47">
        <f t="shared" si="2"/>
        <v>13</v>
      </c>
      <c r="O47" s="3">
        <f t="shared" si="3"/>
        <v>28480.18</v>
      </c>
      <c r="P47" t="str" cm="1">
        <f t="array" ref="P47">_xlfn.IFS(C47&lt;18, "Under 18", C47&lt;36, "Btw 18&amp;35", C47&lt;51, "Btw 36&amp;50", C47&lt;66, "Btw 51&amp;65", C47&gt;=66," 66&amp;Above")</f>
        <v>Btw 51&amp;65</v>
      </c>
    </row>
    <row r="48" spans="1:16">
      <c r="A48" t="s">
        <v>138</v>
      </c>
      <c r="B48" t="s">
        <v>139</v>
      </c>
      <c r="C48">
        <v>37</v>
      </c>
      <c r="D48" t="s">
        <v>18</v>
      </c>
      <c r="E48" s="2">
        <v>45663</v>
      </c>
      <c r="F48" s="2">
        <v>45665</v>
      </c>
      <c r="G48" t="s">
        <v>31</v>
      </c>
      <c r="H48" t="s">
        <v>114</v>
      </c>
      <c r="I48" s="3">
        <v>1098.9100000000001</v>
      </c>
      <c r="J48" t="s">
        <v>20</v>
      </c>
      <c r="K48" s="4">
        <v>0.7</v>
      </c>
      <c r="L48" s="3">
        <f t="shared" si="0"/>
        <v>769.23699999999997</v>
      </c>
      <c r="M48" s="3">
        <f t="shared" si="1"/>
        <v>329.67300000000006</v>
      </c>
      <c r="N48">
        <f t="shared" si="2"/>
        <v>2</v>
      </c>
      <c r="O48" s="3">
        <f t="shared" si="3"/>
        <v>0</v>
      </c>
      <c r="P48" t="str" cm="1">
        <f t="array" ref="P48">_xlfn.IFS(C48&lt;18, "Under 18", C48&lt;36, "Btw 18&amp;35", C48&lt;51, "Btw 36&amp;50", C48&lt;66, "Btw 51&amp;65", C48&gt;=66," 66&amp;Above")</f>
        <v>Btw 36&amp;50</v>
      </c>
    </row>
    <row r="49" spans="1:16">
      <c r="A49" t="s">
        <v>140</v>
      </c>
      <c r="B49" t="s">
        <v>141</v>
      </c>
      <c r="C49">
        <v>54</v>
      </c>
      <c r="D49" t="s">
        <v>12</v>
      </c>
      <c r="E49" s="2">
        <v>45966</v>
      </c>
      <c r="F49" s="2">
        <v>45976</v>
      </c>
      <c r="G49" t="s">
        <v>60</v>
      </c>
      <c r="H49" t="s">
        <v>142</v>
      </c>
      <c r="I49" s="3">
        <v>22377.119999999999</v>
      </c>
      <c r="J49" t="s">
        <v>15</v>
      </c>
      <c r="K49" s="4">
        <v>0.8</v>
      </c>
      <c r="L49" s="3">
        <f t="shared" si="0"/>
        <v>17901.696</v>
      </c>
      <c r="M49" s="3">
        <f t="shared" si="1"/>
        <v>4475.4239999999991</v>
      </c>
      <c r="N49">
        <f t="shared" si="2"/>
        <v>10</v>
      </c>
      <c r="O49" s="3">
        <f t="shared" si="3"/>
        <v>22377.119999999999</v>
      </c>
      <c r="P49" t="str" cm="1">
        <f t="array" ref="P49">_xlfn.IFS(C49&lt;18, "Under 18", C49&lt;36, "Btw 18&amp;35", C49&lt;51, "Btw 36&amp;50", C49&lt;66, "Btw 51&amp;65", C49&gt;=66," 66&amp;Above")</f>
        <v>Btw 51&amp;65</v>
      </c>
    </row>
    <row r="50" spans="1:16">
      <c r="A50" t="s">
        <v>143</v>
      </c>
      <c r="B50" t="s">
        <v>144</v>
      </c>
      <c r="C50">
        <v>1</v>
      </c>
      <c r="D50" t="s">
        <v>12</v>
      </c>
      <c r="E50" s="2">
        <v>45545</v>
      </c>
      <c r="F50" s="2">
        <v>45549</v>
      </c>
      <c r="G50" t="s">
        <v>49</v>
      </c>
      <c r="H50" t="s">
        <v>120</v>
      </c>
      <c r="I50" s="3">
        <v>3895.9</v>
      </c>
      <c r="J50" t="s">
        <v>20</v>
      </c>
      <c r="K50" s="4">
        <v>0</v>
      </c>
      <c r="L50" s="3">
        <f t="shared" si="0"/>
        <v>0</v>
      </c>
      <c r="M50" s="3">
        <f t="shared" si="1"/>
        <v>3895.9</v>
      </c>
      <c r="N50">
        <f t="shared" si="2"/>
        <v>4</v>
      </c>
      <c r="O50" s="3">
        <f t="shared" si="3"/>
        <v>0</v>
      </c>
      <c r="P50" t="str" cm="1">
        <f t="array" ref="P50">_xlfn.IFS(C50&lt;18, "Under 18", C50&lt;36, "Btw 18&amp;35", C50&lt;51, "Btw 36&amp;50", C50&lt;66, "Btw 51&amp;65", C50&gt;=66," 66&amp;Above")</f>
        <v>Under 18</v>
      </c>
    </row>
    <row r="51" spans="1:16">
      <c r="A51" t="s">
        <v>145</v>
      </c>
      <c r="B51" t="s">
        <v>146</v>
      </c>
      <c r="C51">
        <v>51</v>
      </c>
      <c r="D51" t="s">
        <v>12</v>
      </c>
      <c r="E51" s="2">
        <v>45920</v>
      </c>
      <c r="F51" s="2">
        <v>45929</v>
      </c>
      <c r="G51" t="s">
        <v>60</v>
      </c>
      <c r="H51" t="s">
        <v>142</v>
      </c>
      <c r="I51" s="3">
        <v>10684</v>
      </c>
      <c r="J51" t="s">
        <v>15</v>
      </c>
      <c r="K51" s="4">
        <v>0.6</v>
      </c>
      <c r="L51" s="3">
        <f t="shared" si="0"/>
        <v>6410.4</v>
      </c>
      <c r="M51" s="3">
        <f t="shared" si="1"/>
        <v>4273.6000000000004</v>
      </c>
      <c r="N51">
        <f t="shared" si="2"/>
        <v>9</v>
      </c>
      <c r="O51" s="3">
        <f t="shared" si="3"/>
        <v>10684</v>
      </c>
      <c r="P51" t="str" cm="1">
        <f t="array" ref="P51">_xlfn.IFS(C51&lt;18, "Under 18", C51&lt;36, "Btw 18&amp;35", C51&lt;51, "Btw 36&amp;50", C51&lt;66, "Btw 51&amp;65", C51&gt;=66," 66&amp;Above")</f>
        <v>Btw 51&amp;65</v>
      </c>
    </row>
    <row r="52" spans="1:16">
      <c r="A52" t="s">
        <v>147</v>
      </c>
      <c r="B52" t="s">
        <v>148</v>
      </c>
      <c r="C52">
        <v>23</v>
      </c>
      <c r="D52" t="s">
        <v>18</v>
      </c>
      <c r="E52" s="2">
        <v>45479</v>
      </c>
      <c r="F52" s="2">
        <v>45483</v>
      </c>
      <c r="G52" t="s">
        <v>31</v>
      </c>
      <c r="H52" t="s">
        <v>35</v>
      </c>
      <c r="I52" s="3">
        <v>3643.5</v>
      </c>
      <c r="J52" t="s">
        <v>25</v>
      </c>
      <c r="K52" s="4">
        <v>0.7</v>
      </c>
      <c r="L52" s="3">
        <f t="shared" si="0"/>
        <v>2550.4499999999998</v>
      </c>
      <c r="M52" s="3">
        <f t="shared" si="1"/>
        <v>1093.0500000000002</v>
      </c>
      <c r="N52">
        <f t="shared" si="2"/>
        <v>4</v>
      </c>
      <c r="O52" s="3">
        <f t="shared" si="3"/>
        <v>0</v>
      </c>
      <c r="P52" t="str" cm="1">
        <f t="array" ref="P52">_xlfn.IFS(C52&lt;18, "Under 18", C52&lt;36, "Btw 18&amp;35", C52&lt;51, "Btw 36&amp;50", C52&lt;66, "Btw 51&amp;65", C52&gt;=66," 66&amp;Above")</f>
        <v>Btw 18&amp;35</v>
      </c>
    </row>
    <row r="53" spans="1:16">
      <c r="A53" t="s">
        <v>149</v>
      </c>
      <c r="B53" t="s">
        <v>150</v>
      </c>
      <c r="C53">
        <v>67</v>
      </c>
      <c r="D53" t="s">
        <v>18</v>
      </c>
      <c r="E53" s="2">
        <v>45575</v>
      </c>
      <c r="F53" s="2">
        <v>45578</v>
      </c>
      <c r="G53" t="s">
        <v>23</v>
      </c>
      <c r="H53" t="s">
        <v>24</v>
      </c>
      <c r="I53" s="3">
        <v>5702.96</v>
      </c>
      <c r="J53" t="s">
        <v>15</v>
      </c>
      <c r="K53" s="4">
        <v>0.8</v>
      </c>
      <c r="L53" s="3">
        <f t="shared" si="0"/>
        <v>4562.3680000000004</v>
      </c>
      <c r="M53" s="3">
        <f t="shared" si="1"/>
        <v>1140.5919999999996</v>
      </c>
      <c r="N53">
        <f t="shared" si="2"/>
        <v>3</v>
      </c>
      <c r="O53" s="3">
        <f t="shared" si="3"/>
        <v>5702.96</v>
      </c>
      <c r="P53" t="str" cm="1">
        <f t="array" ref="P53">_xlfn.IFS(C53&lt;18, "Under 18", C53&lt;36, "Btw 18&amp;35", C53&lt;51, "Btw 36&amp;50", C53&lt;66, "Btw 51&amp;65", C53&gt;=66," 66&amp;Above")</f>
        <v xml:space="preserve"> 66&amp;Above</v>
      </c>
    </row>
    <row r="54" spans="1:16">
      <c r="A54" t="s">
        <v>151</v>
      </c>
      <c r="B54" t="s">
        <v>152</v>
      </c>
      <c r="C54">
        <v>63</v>
      </c>
      <c r="D54" t="s">
        <v>12</v>
      </c>
      <c r="E54" s="2">
        <v>45905</v>
      </c>
      <c r="F54" s="2">
        <v>45912</v>
      </c>
      <c r="G54" t="s">
        <v>13</v>
      </c>
      <c r="H54" t="s">
        <v>19</v>
      </c>
      <c r="I54" s="3">
        <v>18049.650000000001</v>
      </c>
      <c r="J54" t="s">
        <v>15</v>
      </c>
      <c r="K54" s="4">
        <v>0.8</v>
      </c>
      <c r="L54" s="3">
        <f t="shared" si="0"/>
        <v>14439.720000000001</v>
      </c>
      <c r="M54" s="3">
        <f t="shared" si="1"/>
        <v>3609.9299999999994</v>
      </c>
      <c r="N54">
        <f t="shared" si="2"/>
        <v>7</v>
      </c>
      <c r="O54" s="3">
        <f t="shared" si="3"/>
        <v>18049.650000000001</v>
      </c>
      <c r="P54" t="str" cm="1">
        <f t="array" ref="P54">_xlfn.IFS(C54&lt;18, "Under 18", C54&lt;36, "Btw 18&amp;35", C54&lt;51, "Btw 36&amp;50", C54&lt;66, "Btw 51&amp;65", C54&gt;=66," 66&amp;Above")</f>
        <v>Btw 51&amp;65</v>
      </c>
    </row>
    <row r="55" spans="1:16">
      <c r="A55" t="s">
        <v>153</v>
      </c>
      <c r="B55" t="s">
        <v>154</v>
      </c>
      <c r="C55">
        <v>59</v>
      </c>
      <c r="D55" t="s">
        <v>12</v>
      </c>
      <c r="E55" s="2">
        <v>45751</v>
      </c>
      <c r="F55" s="2">
        <v>45757</v>
      </c>
      <c r="G55" t="s">
        <v>13</v>
      </c>
      <c r="H55" t="s">
        <v>14</v>
      </c>
      <c r="I55" s="3">
        <v>16488.400000000001</v>
      </c>
      <c r="J55" t="s">
        <v>15</v>
      </c>
      <c r="K55" s="4">
        <v>0.8</v>
      </c>
      <c r="L55" s="3">
        <f t="shared" si="0"/>
        <v>13190.720000000001</v>
      </c>
      <c r="M55" s="3">
        <f t="shared" si="1"/>
        <v>3297.6799999999994</v>
      </c>
      <c r="N55">
        <f t="shared" si="2"/>
        <v>6</v>
      </c>
      <c r="O55" s="3">
        <f t="shared" si="3"/>
        <v>16488.400000000001</v>
      </c>
      <c r="P55" t="str" cm="1">
        <f t="array" ref="P55">_xlfn.IFS(C55&lt;18, "Under 18", C55&lt;36, "Btw 18&amp;35", C55&lt;51, "Btw 36&amp;50", C55&lt;66, "Btw 51&amp;65", C55&gt;=66," 66&amp;Above")</f>
        <v>Btw 51&amp;65</v>
      </c>
    </row>
    <row r="56" spans="1:16">
      <c r="A56" t="s">
        <v>155</v>
      </c>
      <c r="B56" t="s">
        <v>156</v>
      </c>
      <c r="C56">
        <v>64</v>
      </c>
      <c r="D56" t="s">
        <v>18</v>
      </c>
      <c r="E56" s="2">
        <v>45662</v>
      </c>
      <c r="F56" s="2">
        <v>45670</v>
      </c>
      <c r="G56" t="s">
        <v>70</v>
      </c>
      <c r="H56" t="s">
        <v>157</v>
      </c>
      <c r="I56" s="3">
        <v>18217.14</v>
      </c>
      <c r="J56" t="s">
        <v>25</v>
      </c>
      <c r="K56" s="4">
        <v>0.5</v>
      </c>
      <c r="L56" s="3">
        <f t="shared" si="0"/>
        <v>9108.57</v>
      </c>
      <c r="M56" s="3">
        <f t="shared" si="1"/>
        <v>9108.57</v>
      </c>
      <c r="N56">
        <f t="shared" si="2"/>
        <v>8</v>
      </c>
      <c r="O56" s="3">
        <f t="shared" si="3"/>
        <v>0</v>
      </c>
      <c r="P56" t="str" cm="1">
        <f t="array" ref="P56">_xlfn.IFS(C56&lt;18, "Under 18", C56&lt;36, "Btw 18&amp;35", C56&lt;51, "Btw 36&amp;50", C56&lt;66, "Btw 51&amp;65", C56&gt;=66," 66&amp;Above")</f>
        <v>Btw 51&amp;65</v>
      </c>
    </row>
    <row r="57" spans="1:16">
      <c r="A57" t="s">
        <v>158</v>
      </c>
      <c r="B57" t="s">
        <v>159</v>
      </c>
      <c r="C57">
        <v>60</v>
      </c>
      <c r="D57" t="s">
        <v>12</v>
      </c>
      <c r="E57" s="2">
        <v>45608</v>
      </c>
      <c r="F57" s="2">
        <v>45619</v>
      </c>
      <c r="G57" t="s">
        <v>60</v>
      </c>
      <c r="H57" t="s">
        <v>74</v>
      </c>
      <c r="I57" s="3">
        <v>16175.09</v>
      </c>
      <c r="J57" t="s">
        <v>20</v>
      </c>
      <c r="K57" s="4">
        <v>0.8</v>
      </c>
      <c r="L57" s="3">
        <f t="shared" si="0"/>
        <v>12940.072</v>
      </c>
      <c r="M57" s="3">
        <f t="shared" si="1"/>
        <v>3235.0179999999991</v>
      </c>
      <c r="N57">
        <f t="shared" si="2"/>
        <v>11</v>
      </c>
      <c r="O57" s="3">
        <f t="shared" si="3"/>
        <v>0</v>
      </c>
      <c r="P57" t="str" cm="1">
        <f t="array" ref="P57">_xlfn.IFS(C57&lt;18, "Under 18", C57&lt;36, "Btw 18&amp;35", C57&lt;51, "Btw 36&amp;50", C57&lt;66, "Btw 51&amp;65", C57&gt;=66," 66&amp;Above")</f>
        <v>Btw 51&amp;65</v>
      </c>
    </row>
    <row r="58" spans="1:16">
      <c r="A58" t="s">
        <v>160</v>
      </c>
      <c r="B58" t="s">
        <v>161</v>
      </c>
      <c r="C58">
        <v>77</v>
      </c>
      <c r="D58" t="s">
        <v>18</v>
      </c>
      <c r="E58" s="2">
        <v>45372</v>
      </c>
      <c r="F58" s="2">
        <v>45380</v>
      </c>
      <c r="G58" t="s">
        <v>13</v>
      </c>
      <c r="H58" t="s">
        <v>14</v>
      </c>
      <c r="I58" s="3">
        <v>12858.55</v>
      </c>
      <c r="J58" t="s">
        <v>20</v>
      </c>
      <c r="K58" s="4">
        <v>0.8</v>
      </c>
      <c r="L58" s="3">
        <f t="shared" si="0"/>
        <v>10286.84</v>
      </c>
      <c r="M58" s="3">
        <f t="shared" si="1"/>
        <v>2571.7099999999991</v>
      </c>
      <c r="N58">
        <f t="shared" si="2"/>
        <v>8</v>
      </c>
      <c r="O58" s="3">
        <f t="shared" si="3"/>
        <v>0</v>
      </c>
      <c r="P58" t="str" cm="1">
        <f t="array" ref="P58">_xlfn.IFS(C58&lt;18, "Under 18", C58&lt;36, "Btw 18&amp;35", C58&lt;51, "Btw 36&amp;50", C58&lt;66, "Btw 51&amp;65", C58&gt;=66," 66&amp;Above")</f>
        <v xml:space="preserve"> 66&amp;Above</v>
      </c>
    </row>
    <row r="59" spans="1:16">
      <c r="A59" t="s">
        <v>162</v>
      </c>
      <c r="B59" t="s">
        <v>163</v>
      </c>
      <c r="C59">
        <v>29</v>
      </c>
      <c r="D59" t="s">
        <v>12</v>
      </c>
      <c r="E59" s="2">
        <v>45782</v>
      </c>
      <c r="F59" s="2">
        <v>45796</v>
      </c>
      <c r="G59" t="s">
        <v>60</v>
      </c>
      <c r="H59" t="s">
        <v>74</v>
      </c>
      <c r="I59" s="3">
        <v>14617.11</v>
      </c>
      <c r="J59" t="s">
        <v>25</v>
      </c>
      <c r="K59" s="4">
        <v>0</v>
      </c>
      <c r="L59" s="3">
        <f t="shared" si="0"/>
        <v>0</v>
      </c>
      <c r="M59" s="3">
        <f t="shared" si="1"/>
        <v>14617.11</v>
      </c>
      <c r="N59">
        <f t="shared" si="2"/>
        <v>14</v>
      </c>
      <c r="O59" s="3">
        <f t="shared" si="3"/>
        <v>0</v>
      </c>
      <c r="P59" t="str" cm="1">
        <f t="array" ref="P59">_xlfn.IFS(C59&lt;18, "Under 18", C59&lt;36, "Btw 18&amp;35", C59&lt;51, "Btw 36&amp;50", C59&lt;66, "Btw 51&amp;65", C59&gt;=66," 66&amp;Above")</f>
        <v>Btw 18&amp;35</v>
      </c>
    </row>
    <row r="60" spans="1:16">
      <c r="A60" t="s">
        <v>164</v>
      </c>
      <c r="B60" t="s">
        <v>119</v>
      </c>
      <c r="C60">
        <v>77</v>
      </c>
      <c r="D60" t="s">
        <v>12</v>
      </c>
      <c r="E60" s="2">
        <v>45331</v>
      </c>
      <c r="F60" s="2">
        <v>45338</v>
      </c>
      <c r="G60" t="s">
        <v>13</v>
      </c>
      <c r="H60" t="s">
        <v>165</v>
      </c>
      <c r="I60" s="3">
        <v>8848.16</v>
      </c>
      <c r="J60" t="s">
        <v>15</v>
      </c>
      <c r="K60" s="4">
        <v>0.9</v>
      </c>
      <c r="L60" s="3">
        <f t="shared" si="0"/>
        <v>7963.3440000000001</v>
      </c>
      <c r="M60" s="3">
        <f t="shared" si="1"/>
        <v>884.8159999999998</v>
      </c>
      <c r="N60">
        <f t="shared" si="2"/>
        <v>7</v>
      </c>
      <c r="O60" s="3">
        <f t="shared" si="3"/>
        <v>8848.16</v>
      </c>
      <c r="P60" t="str" cm="1">
        <f t="array" ref="P60">_xlfn.IFS(C60&lt;18, "Under 18", C60&lt;36, "Btw 18&amp;35", C60&lt;51, "Btw 36&amp;50", C60&lt;66, "Btw 51&amp;65", C60&gt;=66," 66&amp;Above")</f>
        <v xml:space="preserve"> 66&amp;Above</v>
      </c>
    </row>
    <row r="61" spans="1:16">
      <c r="A61" t="s">
        <v>166</v>
      </c>
      <c r="B61" t="s">
        <v>89</v>
      </c>
      <c r="C61">
        <v>38</v>
      </c>
      <c r="D61" t="s">
        <v>12</v>
      </c>
      <c r="E61" s="2">
        <v>45435</v>
      </c>
      <c r="F61" s="2">
        <v>45437</v>
      </c>
      <c r="G61" t="s">
        <v>23</v>
      </c>
      <c r="H61" t="s">
        <v>82</v>
      </c>
      <c r="I61" s="3">
        <v>4529.29</v>
      </c>
      <c r="J61" t="s">
        <v>25</v>
      </c>
      <c r="K61" s="4">
        <v>0.6</v>
      </c>
      <c r="L61" s="3">
        <f t="shared" si="0"/>
        <v>2717.5740000000001</v>
      </c>
      <c r="M61" s="3">
        <f t="shared" si="1"/>
        <v>1811.7160000000001</v>
      </c>
      <c r="N61">
        <f t="shared" si="2"/>
        <v>2</v>
      </c>
      <c r="O61" s="3">
        <f t="shared" si="3"/>
        <v>0</v>
      </c>
      <c r="P61" t="str" cm="1">
        <f t="array" ref="P61">_xlfn.IFS(C61&lt;18, "Under 18", C61&lt;36, "Btw 18&amp;35", C61&lt;51, "Btw 36&amp;50", C61&lt;66, "Btw 51&amp;65", C61&gt;=66," 66&amp;Above")</f>
        <v>Btw 36&amp;50</v>
      </c>
    </row>
    <row r="62" spans="1:16">
      <c r="A62" t="s">
        <v>167</v>
      </c>
      <c r="B62" t="s">
        <v>168</v>
      </c>
      <c r="C62">
        <v>43</v>
      </c>
      <c r="D62" t="s">
        <v>18</v>
      </c>
      <c r="E62" s="2">
        <v>45608</v>
      </c>
      <c r="F62" s="2">
        <v>45610</v>
      </c>
      <c r="G62" t="s">
        <v>31</v>
      </c>
      <c r="H62" t="s">
        <v>53</v>
      </c>
      <c r="I62" s="3">
        <v>1655.08</v>
      </c>
      <c r="J62" t="s">
        <v>15</v>
      </c>
      <c r="K62" s="4">
        <v>0.8</v>
      </c>
      <c r="L62" s="3">
        <f t="shared" si="0"/>
        <v>1324.0640000000001</v>
      </c>
      <c r="M62" s="3">
        <f t="shared" si="1"/>
        <v>331.01599999999991</v>
      </c>
      <c r="N62">
        <f t="shared" si="2"/>
        <v>2</v>
      </c>
      <c r="O62" s="3">
        <f t="shared" si="3"/>
        <v>1655.08</v>
      </c>
      <c r="P62" t="str" cm="1">
        <f t="array" ref="P62">_xlfn.IFS(C62&lt;18, "Under 18", C62&lt;36, "Btw 18&amp;35", C62&lt;51, "Btw 36&amp;50", C62&lt;66, "Btw 51&amp;65", C62&gt;=66," 66&amp;Above")</f>
        <v>Btw 36&amp;50</v>
      </c>
    </row>
    <row r="63" spans="1:16">
      <c r="A63" t="s">
        <v>169</v>
      </c>
      <c r="B63" t="s">
        <v>170</v>
      </c>
      <c r="C63">
        <v>16</v>
      </c>
      <c r="D63" t="s">
        <v>12</v>
      </c>
      <c r="E63" s="2">
        <v>45776</v>
      </c>
      <c r="F63" s="2">
        <v>45777</v>
      </c>
      <c r="G63" t="s">
        <v>49</v>
      </c>
      <c r="H63" t="s">
        <v>120</v>
      </c>
      <c r="I63" s="3">
        <v>1165.3699999999999</v>
      </c>
      <c r="J63" t="s">
        <v>20</v>
      </c>
      <c r="K63" s="4">
        <v>0.8</v>
      </c>
      <c r="L63" s="3">
        <f t="shared" si="0"/>
        <v>932.29599999999994</v>
      </c>
      <c r="M63" s="3">
        <f t="shared" si="1"/>
        <v>233.07399999999993</v>
      </c>
      <c r="N63">
        <f t="shared" si="2"/>
        <v>1</v>
      </c>
      <c r="O63" s="3">
        <f t="shared" si="3"/>
        <v>0</v>
      </c>
      <c r="P63" t="str" cm="1">
        <f t="array" ref="P63">_xlfn.IFS(C63&lt;18, "Under 18", C63&lt;36, "Btw 18&amp;35", C63&lt;51, "Btw 36&amp;50", C63&lt;66, "Btw 51&amp;65", C63&gt;=66," 66&amp;Above")</f>
        <v>Under 18</v>
      </c>
    </row>
    <row r="64" spans="1:16">
      <c r="A64" t="s">
        <v>171</v>
      </c>
      <c r="B64" t="s">
        <v>172</v>
      </c>
      <c r="C64">
        <v>47</v>
      </c>
      <c r="D64" t="s">
        <v>18</v>
      </c>
      <c r="E64" s="2">
        <v>45771</v>
      </c>
      <c r="F64" s="2">
        <v>45775</v>
      </c>
      <c r="G64" t="s">
        <v>13</v>
      </c>
      <c r="H64" t="s">
        <v>165</v>
      </c>
      <c r="I64" s="3">
        <v>5020.34</v>
      </c>
      <c r="J64" t="s">
        <v>15</v>
      </c>
      <c r="K64" s="4">
        <v>0.8</v>
      </c>
      <c r="L64" s="3">
        <f t="shared" si="0"/>
        <v>4016.2720000000004</v>
      </c>
      <c r="M64" s="3">
        <f t="shared" si="1"/>
        <v>1004.0679999999998</v>
      </c>
      <c r="N64">
        <f t="shared" si="2"/>
        <v>4</v>
      </c>
      <c r="O64" s="3">
        <f t="shared" si="3"/>
        <v>5020.34</v>
      </c>
      <c r="P64" t="str" cm="1">
        <f t="array" ref="P64">_xlfn.IFS(C64&lt;18, "Under 18", C64&lt;36, "Btw 18&amp;35", C64&lt;51, "Btw 36&amp;50", C64&lt;66, "Btw 51&amp;65", C64&gt;=66," 66&amp;Above")</f>
        <v>Btw 36&amp;50</v>
      </c>
    </row>
    <row r="65" spans="1:16">
      <c r="A65" t="s">
        <v>173</v>
      </c>
      <c r="B65" t="s">
        <v>113</v>
      </c>
      <c r="C65">
        <v>5</v>
      </c>
      <c r="D65" t="s">
        <v>18</v>
      </c>
      <c r="E65" s="2">
        <v>45405</v>
      </c>
      <c r="F65" s="2">
        <v>45408</v>
      </c>
      <c r="G65" t="s">
        <v>49</v>
      </c>
      <c r="H65" t="s">
        <v>123</v>
      </c>
      <c r="I65" s="3">
        <v>4344.45</v>
      </c>
      <c r="J65" t="s">
        <v>15</v>
      </c>
      <c r="K65" s="4">
        <v>1</v>
      </c>
      <c r="L65" s="3">
        <f t="shared" si="0"/>
        <v>4344.45</v>
      </c>
      <c r="M65" s="3">
        <f t="shared" si="1"/>
        <v>0</v>
      </c>
      <c r="N65">
        <f t="shared" si="2"/>
        <v>3</v>
      </c>
      <c r="O65" s="3">
        <f t="shared" si="3"/>
        <v>4344.45</v>
      </c>
      <c r="P65" t="str" cm="1">
        <f t="array" ref="P65">_xlfn.IFS(C65&lt;18, "Under 18", C65&lt;36, "Btw 18&amp;35", C65&lt;51, "Btw 36&amp;50", C65&lt;66, "Btw 51&amp;65", C65&gt;=66," 66&amp;Above")</f>
        <v>Under 18</v>
      </c>
    </row>
    <row r="66" spans="1:16">
      <c r="A66" t="s">
        <v>174</v>
      </c>
      <c r="B66" t="s">
        <v>175</v>
      </c>
      <c r="C66">
        <v>40</v>
      </c>
      <c r="D66" t="s">
        <v>18</v>
      </c>
      <c r="E66" s="2">
        <v>45942</v>
      </c>
      <c r="F66" s="2">
        <v>45951</v>
      </c>
      <c r="G66" t="s">
        <v>13</v>
      </c>
      <c r="H66" t="s">
        <v>165</v>
      </c>
      <c r="I66" s="3">
        <v>11900.88</v>
      </c>
      <c r="J66" t="s">
        <v>20</v>
      </c>
      <c r="K66" s="4">
        <v>0.8</v>
      </c>
      <c r="L66" s="3">
        <f t="shared" si="0"/>
        <v>9520.7039999999997</v>
      </c>
      <c r="M66" s="3">
        <f t="shared" si="1"/>
        <v>2380.1759999999995</v>
      </c>
      <c r="N66">
        <f t="shared" si="2"/>
        <v>9</v>
      </c>
      <c r="O66" s="3">
        <f t="shared" si="3"/>
        <v>0</v>
      </c>
      <c r="P66" t="str" cm="1">
        <f t="array" ref="P66">_xlfn.IFS(C66&lt;18, "Under 18", C66&lt;36, "Btw 18&amp;35", C66&lt;51, "Btw 36&amp;50", C66&lt;66, "Btw 51&amp;65", C66&gt;=66," 66&amp;Above")</f>
        <v>Btw 36&amp;50</v>
      </c>
    </row>
    <row r="67" spans="1:16">
      <c r="A67" t="s">
        <v>176</v>
      </c>
      <c r="B67" t="s">
        <v>177</v>
      </c>
      <c r="C67">
        <v>67</v>
      </c>
      <c r="D67" t="s">
        <v>12</v>
      </c>
      <c r="E67" s="2">
        <v>45681</v>
      </c>
      <c r="F67" s="2">
        <v>45690</v>
      </c>
      <c r="G67" t="s">
        <v>70</v>
      </c>
      <c r="H67" t="s">
        <v>94</v>
      </c>
      <c r="I67" s="3">
        <v>12380.25</v>
      </c>
      <c r="J67" t="s">
        <v>15</v>
      </c>
      <c r="K67" s="4">
        <v>0.8</v>
      </c>
      <c r="L67" s="3">
        <f t="shared" ref="L67:L130" si="4">I67*K67</f>
        <v>9904.2000000000007</v>
      </c>
      <c r="M67" s="3">
        <f t="shared" ref="M67:M130" si="5">(100%-K67)*I67</f>
        <v>2476.0499999999993</v>
      </c>
      <c r="N67">
        <f t="shared" ref="N67:N130" si="6">_xlfn.DAYS(F67,E67)</f>
        <v>9</v>
      </c>
      <c r="O67" s="3">
        <f t="shared" ref="O67:O130" si="7">IF(J67="Paid", I67, 0)</f>
        <v>12380.25</v>
      </c>
      <c r="P67" t="str" cm="1">
        <f t="array" ref="P67">_xlfn.IFS(C67&lt;18, "Under 18", C67&lt;36, "Btw 18&amp;35", C67&lt;51, "Btw 36&amp;50", C67&lt;66, "Btw 51&amp;65", C67&gt;=66," 66&amp;Above")</f>
        <v xml:space="preserve"> 66&amp;Above</v>
      </c>
    </row>
    <row r="68" spans="1:16">
      <c r="A68" t="s">
        <v>178</v>
      </c>
      <c r="B68" t="s">
        <v>179</v>
      </c>
      <c r="C68">
        <v>63</v>
      </c>
      <c r="D68" t="s">
        <v>12</v>
      </c>
      <c r="E68" s="2">
        <v>45986</v>
      </c>
      <c r="F68" s="2">
        <v>45990</v>
      </c>
      <c r="G68" t="s">
        <v>13</v>
      </c>
      <c r="H68" t="s">
        <v>111</v>
      </c>
      <c r="I68" s="3">
        <v>9509.74</v>
      </c>
      <c r="J68" t="s">
        <v>15</v>
      </c>
      <c r="K68" s="4">
        <v>0.9</v>
      </c>
      <c r="L68" s="3">
        <f t="shared" si="4"/>
        <v>8558.7659999999996</v>
      </c>
      <c r="M68" s="3">
        <f t="shared" si="5"/>
        <v>950.97399999999982</v>
      </c>
      <c r="N68">
        <f t="shared" si="6"/>
        <v>4</v>
      </c>
      <c r="O68" s="3">
        <f t="shared" si="7"/>
        <v>9509.74</v>
      </c>
      <c r="P68" t="str" cm="1">
        <f t="array" ref="P68">_xlfn.IFS(C68&lt;18, "Under 18", C68&lt;36, "Btw 18&amp;35", C68&lt;51, "Btw 36&amp;50", C68&lt;66, "Btw 51&amp;65", C68&gt;=66," 66&amp;Above")</f>
        <v>Btw 51&amp;65</v>
      </c>
    </row>
    <row r="69" spans="1:16">
      <c r="A69" t="s">
        <v>180</v>
      </c>
      <c r="B69" t="s">
        <v>181</v>
      </c>
      <c r="C69">
        <v>60</v>
      </c>
      <c r="D69" t="s">
        <v>18</v>
      </c>
      <c r="E69" s="2">
        <v>45731</v>
      </c>
      <c r="F69" s="2">
        <v>45735</v>
      </c>
      <c r="G69" t="s">
        <v>70</v>
      </c>
      <c r="H69" t="s">
        <v>157</v>
      </c>
      <c r="I69" s="3">
        <v>6803.88</v>
      </c>
      <c r="J69" t="s">
        <v>15</v>
      </c>
      <c r="K69" s="4">
        <v>0.8</v>
      </c>
      <c r="L69" s="3">
        <f t="shared" si="4"/>
        <v>5443.1040000000003</v>
      </c>
      <c r="M69" s="3">
        <f t="shared" si="5"/>
        <v>1360.7759999999996</v>
      </c>
      <c r="N69">
        <f t="shared" si="6"/>
        <v>4</v>
      </c>
      <c r="O69" s="3">
        <f t="shared" si="7"/>
        <v>6803.88</v>
      </c>
      <c r="P69" t="str" cm="1">
        <f t="array" ref="P69">_xlfn.IFS(C69&lt;18, "Under 18", C69&lt;36, "Btw 18&amp;35", C69&lt;51, "Btw 36&amp;50", C69&lt;66, "Btw 51&amp;65", C69&gt;=66," 66&amp;Above")</f>
        <v>Btw 51&amp;65</v>
      </c>
    </row>
    <row r="70" spans="1:16">
      <c r="A70" t="s">
        <v>182</v>
      </c>
      <c r="B70" t="s">
        <v>183</v>
      </c>
      <c r="C70">
        <v>67</v>
      </c>
      <c r="D70" t="s">
        <v>18</v>
      </c>
      <c r="E70" s="2">
        <v>45436</v>
      </c>
      <c r="F70" s="2">
        <v>45447</v>
      </c>
      <c r="G70" t="s">
        <v>60</v>
      </c>
      <c r="H70" t="s">
        <v>74</v>
      </c>
      <c r="I70" s="3">
        <v>23530.58</v>
      </c>
      <c r="J70" t="s">
        <v>25</v>
      </c>
      <c r="K70" s="4">
        <v>0.8</v>
      </c>
      <c r="L70" s="3">
        <f t="shared" si="4"/>
        <v>18824.464000000004</v>
      </c>
      <c r="M70" s="3">
        <f t="shared" si="5"/>
        <v>4706.1159999999991</v>
      </c>
      <c r="N70">
        <f t="shared" si="6"/>
        <v>11</v>
      </c>
      <c r="O70" s="3">
        <f t="shared" si="7"/>
        <v>0</v>
      </c>
      <c r="P70" t="str" cm="1">
        <f t="array" ref="P70">_xlfn.IFS(C70&lt;18, "Under 18", C70&lt;36, "Btw 18&amp;35", C70&lt;51, "Btw 36&amp;50", C70&lt;66, "Btw 51&amp;65", C70&gt;=66," 66&amp;Above")</f>
        <v xml:space="preserve"> 66&amp;Above</v>
      </c>
    </row>
    <row r="71" spans="1:16">
      <c r="A71" t="s">
        <v>184</v>
      </c>
      <c r="B71" t="s">
        <v>185</v>
      </c>
      <c r="C71">
        <v>83</v>
      </c>
      <c r="D71" t="s">
        <v>12</v>
      </c>
      <c r="E71" s="2">
        <v>45752</v>
      </c>
      <c r="F71" s="2">
        <v>45753</v>
      </c>
      <c r="G71" t="s">
        <v>23</v>
      </c>
      <c r="H71" t="s">
        <v>41</v>
      </c>
      <c r="I71" s="3">
        <v>1108.28</v>
      </c>
      <c r="J71" t="s">
        <v>15</v>
      </c>
      <c r="K71" s="4">
        <v>0.5</v>
      </c>
      <c r="L71" s="3">
        <f t="shared" si="4"/>
        <v>554.14</v>
      </c>
      <c r="M71" s="3">
        <f t="shared" si="5"/>
        <v>554.14</v>
      </c>
      <c r="N71">
        <f t="shared" si="6"/>
        <v>1</v>
      </c>
      <c r="O71" s="3">
        <f t="shared" si="7"/>
        <v>1108.28</v>
      </c>
      <c r="P71" t="str" cm="1">
        <f t="array" ref="P71">_xlfn.IFS(C71&lt;18, "Under 18", C71&lt;36, "Btw 18&amp;35", C71&lt;51, "Btw 36&amp;50", C71&lt;66, "Btw 51&amp;65", C71&gt;=66," 66&amp;Above")</f>
        <v xml:space="preserve"> 66&amp;Above</v>
      </c>
    </row>
    <row r="72" spans="1:16">
      <c r="A72" t="s">
        <v>186</v>
      </c>
      <c r="B72" t="s">
        <v>187</v>
      </c>
      <c r="C72">
        <v>69</v>
      </c>
      <c r="D72" t="s">
        <v>12</v>
      </c>
      <c r="E72" s="2">
        <v>46013</v>
      </c>
      <c r="F72" s="2">
        <v>46020</v>
      </c>
      <c r="G72" t="s">
        <v>13</v>
      </c>
      <c r="H72" t="s">
        <v>38</v>
      </c>
      <c r="I72" s="3">
        <v>15858.97</v>
      </c>
      <c r="J72" t="s">
        <v>15</v>
      </c>
      <c r="K72" s="4">
        <v>0.8</v>
      </c>
      <c r="L72" s="3">
        <f t="shared" si="4"/>
        <v>12687.175999999999</v>
      </c>
      <c r="M72" s="3">
        <f t="shared" si="5"/>
        <v>3171.793999999999</v>
      </c>
      <c r="N72">
        <f t="shared" si="6"/>
        <v>7</v>
      </c>
      <c r="O72" s="3">
        <f t="shared" si="7"/>
        <v>15858.97</v>
      </c>
      <c r="P72" t="str" cm="1">
        <f t="array" ref="P72">_xlfn.IFS(C72&lt;18, "Under 18", C72&lt;36, "Btw 18&amp;35", C72&lt;51, "Btw 36&amp;50", C72&lt;66, "Btw 51&amp;65", C72&gt;=66," 66&amp;Above")</f>
        <v xml:space="preserve"> 66&amp;Above</v>
      </c>
    </row>
    <row r="73" spans="1:16">
      <c r="A73" t="s">
        <v>188</v>
      </c>
      <c r="B73" t="s">
        <v>189</v>
      </c>
      <c r="C73">
        <v>66</v>
      </c>
      <c r="D73" t="s">
        <v>12</v>
      </c>
      <c r="E73" s="2">
        <v>45676</v>
      </c>
      <c r="F73" s="2">
        <v>45690</v>
      </c>
      <c r="G73" t="s">
        <v>60</v>
      </c>
      <c r="H73" t="s">
        <v>97</v>
      </c>
      <c r="I73" s="3">
        <v>24022.14</v>
      </c>
      <c r="J73" t="s">
        <v>25</v>
      </c>
      <c r="K73" s="4">
        <v>0.8</v>
      </c>
      <c r="L73" s="3">
        <f t="shared" si="4"/>
        <v>19217.712</v>
      </c>
      <c r="M73" s="3">
        <f t="shared" si="5"/>
        <v>4804.427999999999</v>
      </c>
      <c r="N73">
        <f t="shared" si="6"/>
        <v>14</v>
      </c>
      <c r="O73" s="3">
        <f t="shared" si="7"/>
        <v>0</v>
      </c>
      <c r="P73" t="str" cm="1">
        <f t="array" ref="P73">_xlfn.IFS(C73&lt;18, "Under 18", C73&lt;36, "Btw 18&amp;35", C73&lt;51, "Btw 36&amp;50", C73&lt;66, "Btw 51&amp;65", C73&gt;=66," 66&amp;Above")</f>
        <v xml:space="preserve"> 66&amp;Above</v>
      </c>
    </row>
    <row r="74" spans="1:16">
      <c r="A74" t="s">
        <v>190</v>
      </c>
      <c r="B74" t="s">
        <v>191</v>
      </c>
      <c r="C74">
        <v>29</v>
      </c>
      <c r="D74" t="s">
        <v>18</v>
      </c>
      <c r="E74" s="2">
        <v>45586</v>
      </c>
      <c r="F74" s="2">
        <v>45598</v>
      </c>
      <c r="G74" t="s">
        <v>60</v>
      </c>
      <c r="H74" t="s">
        <v>97</v>
      </c>
      <c r="I74" s="3">
        <v>13601.98</v>
      </c>
      <c r="J74" t="s">
        <v>20</v>
      </c>
      <c r="K74" s="4">
        <v>0.8</v>
      </c>
      <c r="L74" s="3">
        <f t="shared" si="4"/>
        <v>10881.584000000001</v>
      </c>
      <c r="M74" s="3">
        <f t="shared" si="5"/>
        <v>2720.3959999999993</v>
      </c>
      <c r="N74">
        <f t="shared" si="6"/>
        <v>12</v>
      </c>
      <c r="O74" s="3">
        <f t="shared" si="7"/>
        <v>0</v>
      </c>
      <c r="P74" t="str" cm="1">
        <f t="array" ref="P74">_xlfn.IFS(C74&lt;18, "Under 18", C74&lt;36, "Btw 18&amp;35", C74&lt;51, "Btw 36&amp;50", C74&lt;66, "Btw 51&amp;65", C74&gt;=66," 66&amp;Above")</f>
        <v>Btw 18&amp;35</v>
      </c>
    </row>
    <row r="75" spans="1:16">
      <c r="A75" t="s">
        <v>192</v>
      </c>
      <c r="B75" t="s">
        <v>193</v>
      </c>
      <c r="C75">
        <v>48</v>
      </c>
      <c r="D75" t="s">
        <v>12</v>
      </c>
      <c r="E75" s="2">
        <v>45405</v>
      </c>
      <c r="F75" s="2">
        <v>45414</v>
      </c>
      <c r="G75" t="s">
        <v>70</v>
      </c>
      <c r="H75" t="s">
        <v>194</v>
      </c>
      <c r="I75" s="3">
        <v>11054.91</v>
      </c>
      <c r="J75" t="s">
        <v>15</v>
      </c>
      <c r="K75" s="4">
        <v>0.8</v>
      </c>
      <c r="L75" s="3">
        <f t="shared" si="4"/>
        <v>8843.9279999999999</v>
      </c>
      <c r="M75" s="3">
        <f t="shared" si="5"/>
        <v>2210.9819999999995</v>
      </c>
      <c r="N75">
        <f t="shared" si="6"/>
        <v>9</v>
      </c>
      <c r="O75" s="3">
        <f t="shared" si="7"/>
        <v>11054.91</v>
      </c>
      <c r="P75" t="str" cm="1">
        <f t="array" ref="P75">_xlfn.IFS(C75&lt;18, "Under 18", C75&lt;36, "Btw 18&amp;35", C75&lt;51, "Btw 36&amp;50", C75&lt;66, "Btw 51&amp;65", C75&gt;=66," 66&amp;Above")</f>
        <v>Btw 36&amp;50</v>
      </c>
    </row>
    <row r="76" spans="1:16">
      <c r="A76" t="s">
        <v>195</v>
      </c>
      <c r="B76" t="s">
        <v>196</v>
      </c>
      <c r="C76">
        <v>71</v>
      </c>
      <c r="D76" t="s">
        <v>12</v>
      </c>
      <c r="E76" s="2">
        <v>45986</v>
      </c>
      <c r="F76" s="2">
        <v>45989</v>
      </c>
      <c r="G76" t="s">
        <v>23</v>
      </c>
      <c r="H76" t="s">
        <v>24</v>
      </c>
      <c r="I76" s="3">
        <v>4292.29</v>
      </c>
      <c r="J76" t="s">
        <v>15</v>
      </c>
      <c r="K76" s="4">
        <v>0.7</v>
      </c>
      <c r="L76" s="3">
        <f t="shared" si="4"/>
        <v>3004.6029999999996</v>
      </c>
      <c r="M76" s="3">
        <f t="shared" si="5"/>
        <v>1287.6870000000001</v>
      </c>
      <c r="N76">
        <f t="shared" si="6"/>
        <v>3</v>
      </c>
      <c r="O76" s="3">
        <f t="shared" si="7"/>
        <v>4292.29</v>
      </c>
      <c r="P76" t="str" cm="1">
        <f t="array" ref="P76">_xlfn.IFS(C76&lt;18, "Under 18", C76&lt;36, "Btw 18&amp;35", C76&lt;51, "Btw 36&amp;50", C76&lt;66, "Btw 51&amp;65", C76&gt;=66," 66&amp;Above")</f>
        <v xml:space="preserve"> 66&amp;Above</v>
      </c>
    </row>
    <row r="77" spans="1:16">
      <c r="A77" t="s">
        <v>197</v>
      </c>
      <c r="B77" t="s">
        <v>198</v>
      </c>
      <c r="C77">
        <v>58</v>
      </c>
      <c r="D77" t="s">
        <v>18</v>
      </c>
      <c r="E77" s="2">
        <v>45969</v>
      </c>
      <c r="F77" s="2">
        <v>45978</v>
      </c>
      <c r="G77" t="s">
        <v>13</v>
      </c>
      <c r="H77" t="s">
        <v>165</v>
      </c>
      <c r="I77" s="3">
        <v>15148.04</v>
      </c>
      <c r="J77" t="s">
        <v>15</v>
      </c>
      <c r="K77" s="4">
        <v>1</v>
      </c>
      <c r="L77" s="3">
        <f t="shared" si="4"/>
        <v>15148.04</v>
      </c>
      <c r="M77" s="3">
        <f t="shared" si="5"/>
        <v>0</v>
      </c>
      <c r="N77">
        <f t="shared" si="6"/>
        <v>9</v>
      </c>
      <c r="O77" s="3">
        <f t="shared" si="7"/>
        <v>15148.04</v>
      </c>
      <c r="P77" t="str" cm="1">
        <f t="array" ref="P77">_xlfn.IFS(C77&lt;18, "Under 18", C77&lt;36, "Btw 18&amp;35", C77&lt;51, "Btw 36&amp;50", C77&lt;66, "Btw 51&amp;65", C77&gt;=66," 66&amp;Above")</f>
        <v>Btw 51&amp;65</v>
      </c>
    </row>
    <row r="78" spans="1:16">
      <c r="A78" t="s">
        <v>199</v>
      </c>
      <c r="B78" t="s">
        <v>200</v>
      </c>
      <c r="C78">
        <v>31</v>
      </c>
      <c r="D78" t="s">
        <v>18</v>
      </c>
      <c r="E78" s="2">
        <v>45748</v>
      </c>
      <c r="F78" s="2">
        <v>45755</v>
      </c>
      <c r="G78" t="s">
        <v>70</v>
      </c>
      <c r="H78" t="s">
        <v>157</v>
      </c>
      <c r="I78" s="3">
        <v>12486.34</v>
      </c>
      <c r="J78" t="s">
        <v>20</v>
      </c>
      <c r="K78" s="4">
        <v>0.6</v>
      </c>
      <c r="L78" s="3">
        <f t="shared" si="4"/>
        <v>7491.8040000000001</v>
      </c>
      <c r="M78" s="3">
        <f t="shared" si="5"/>
        <v>4994.5360000000001</v>
      </c>
      <c r="N78">
        <f t="shared" si="6"/>
        <v>7</v>
      </c>
      <c r="O78" s="3">
        <f t="shared" si="7"/>
        <v>0</v>
      </c>
      <c r="P78" t="str" cm="1">
        <f t="array" ref="P78">_xlfn.IFS(C78&lt;18, "Under 18", C78&lt;36, "Btw 18&amp;35", C78&lt;51, "Btw 36&amp;50", C78&lt;66, "Btw 51&amp;65", C78&gt;=66," 66&amp;Above")</f>
        <v>Btw 18&amp;35</v>
      </c>
    </row>
    <row r="79" spans="1:16">
      <c r="A79" t="s">
        <v>201</v>
      </c>
      <c r="B79" t="s">
        <v>116</v>
      </c>
      <c r="C79">
        <v>6</v>
      </c>
      <c r="D79" t="s">
        <v>18</v>
      </c>
      <c r="E79" s="2">
        <v>45986</v>
      </c>
      <c r="F79" s="2">
        <v>45991</v>
      </c>
      <c r="G79" t="s">
        <v>49</v>
      </c>
      <c r="H79" t="s">
        <v>123</v>
      </c>
      <c r="I79" s="3">
        <v>6755.47</v>
      </c>
      <c r="J79" t="s">
        <v>15</v>
      </c>
      <c r="K79" s="4">
        <v>0.9</v>
      </c>
      <c r="L79" s="3">
        <f t="shared" si="4"/>
        <v>6079.9230000000007</v>
      </c>
      <c r="M79" s="3">
        <f t="shared" si="5"/>
        <v>675.54699999999991</v>
      </c>
      <c r="N79">
        <f t="shared" si="6"/>
        <v>5</v>
      </c>
      <c r="O79" s="3">
        <f t="shared" si="7"/>
        <v>6755.47</v>
      </c>
      <c r="P79" t="str" cm="1">
        <f t="array" ref="P79">_xlfn.IFS(C79&lt;18, "Under 18", C79&lt;36, "Btw 18&amp;35", C79&lt;51, "Btw 36&amp;50", C79&lt;66, "Btw 51&amp;65", C79&gt;=66," 66&amp;Above")</f>
        <v>Under 18</v>
      </c>
    </row>
    <row r="80" spans="1:16">
      <c r="A80" t="s">
        <v>202</v>
      </c>
      <c r="B80" t="s">
        <v>203</v>
      </c>
      <c r="C80">
        <v>54</v>
      </c>
      <c r="D80" t="s">
        <v>18</v>
      </c>
      <c r="E80" s="2">
        <v>45903</v>
      </c>
      <c r="F80" s="2">
        <v>45905</v>
      </c>
      <c r="G80" t="s">
        <v>23</v>
      </c>
      <c r="H80" t="s">
        <v>204</v>
      </c>
      <c r="I80" s="3">
        <v>2919.13</v>
      </c>
      <c r="J80" t="s">
        <v>15</v>
      </c>
      <c r="K80" s="4">
        <v>1</v>
      </c>
      <c r="L80" s="3">
        <f t="shared" si="4"/>
        <v>2919.13</v>
      </c>
      <c r="M80" s="3">
        <f t="shared" si="5"/>
        <v>0</v>
      </c>
      <c r="N80">
        <f t="shared" si="6"/>
        <v>2</v>
      </c>
      <c r="O80" s="3">
        <f t="shared" si="7"/>
        <v>2919.13</v>
      </c>
      <c r="P80" t="str" cm="1">
        <f t="array" ref="P80">_xlfn.IFS(C80&lt;18, "Under 18", C80&lt;36, "Btw 18&amp;35", C80&lt;51, "Btw 36&amp;50", C80&lt;66, "Btw 51&amp;65", C80&gt;=66," 66&amp;Above")</f>
        <v>Btw 51&amp;65</v>
      </c>
    </row>
    <row r="81" spans="1:16">
      <c r="A81" t="s">
        <v>205</v>
      </c>
      <c r="B81" t="s">
        <v>206</v>
      </c>
      <c r="C81">
        <v>40</v>
      </c>
      <c r="D81" t="s">
        <v>18</v>
      </c>
      <c r="E81" s="2">
        <v>45843</v>
      </c>
      <c r="F81" s="2">
        <v>45857</v>
      </c>
      <c r="G81" t="s">
        <v>60</v>
      </c>
      <c r="H81" t="s">
        <v>74</v>
      </c>
      <c r="I81" s="3">
        <v>30241.53</v>
      </c>
      <c r="J81" t="s">
        <v>15</v>
      </c>
      <c r="K81" s="4">
        <v>1</v>
      </c>
      <c r="L81" s="3">
        <f t="shared" si="4"/>
        <v>30241.53</v>
      </c>
      <c r="M81" s="3">
        <f t="shared" si="5"/>
        <v>0</v>
      </c>
      <c r="N81">
        <f t="shared" si="6"/>
        <v>14</v>
      </c>
      <c r="O81" s="3">
        <f t="shared" si="7"/>
        <v>30241.53</v>
      </c>
      <c r="P81" t="str" cm="1">
        <f t="array" ref="P81">_xlfn.IFS(C81&lt;18, "Under 18", C81&lt;36, "Btw 18&amp;35", C81&lt;51, "Btw 36&amp;50", C81&lt;66, "Btw 51&amp;65", C81&gt;=66," 66&amp;Above")</f>
        <v>Btw 36&amp;50</v>
      </c>
    </row>
    <row r="82" spans="1:16">
      <c r="A82" t="s">
        <v>207</v>
      </c>
      <c r="B82" t="s">
        <v>208</v>
      </c>
      <c r="C82">
        <v>70</v>
      </c>
      <c r="D82" t="s">
        <v>18</v>
      </c>
      <c r="E82" s="2">
        <v>45483</v>
      </c>
      <c r="F82" s="2">
        <v>45490</v>
      </c>
      <c r="G82" t="s">
        <v>13</v>
      </c>
      <c r="H82" t="s">
        <v>111</v>
      </c>
      <c r="I82" s="3">
        <v>12489.15</v>
      </c>
      <c r="J82" t="s">
        <v>20</v>
      </c>
      <c r="K82" s="4">
        <v>0</v>
      </c>
      <c r="L82" s="3">
        <f t="shared" si="4"/>
        <v>0</v>
      </c>
      <c r="M82" s="3">
        <f t="shared" si="5"/>
        <v>12489.15</v>
      </c>
      <c r="N82">
        <f t="shared" si="6"/>
        <v>7</v>
      </c>
      <c r="O82" s="3">
        <f t="shared" si="7"/>
        <v>0</v>
      </c>
      <c r="P82" t="str" cm="1">
        <f t="array" ref="P82">_xlfn.IFS(C82&lt;18, "Under 18", C82&lt;36, "Btw 18&amp;35", C82&lt;51, "Btw 36&amp;50", C82&lt;66, "Btw 51&amp;65", C82&gt;=66," 66&amp;Above")</f>
        <v xml:space="preserve"> 66&amp;Above</v>
      </c>
    </row>
    <row r="83" spans="1:16">
      <c r="A83" t="s">
        <v>209</v>
      </c>
      <c r="B83" t="s">
        <v>210</v>
      </c>
      <c r="C83">
        <v>34</v>
      </c>
      <c r="D83" t="s">
        <v>18</v>
      </c>
      <c r="E83" s="2">
        <v>45323</v>
      </c>
      <c r="F83" s="2">
        <v>45329</v>
      </c>
      <c r="G83" t="s">
        <v>60</v>
      </c>
      <c r="H83" t="s">
        <v>133</v>
      </c>
      <c r="I83" s="3">
        <v>12813.71</v>
      </c>
      <c r="J83" t="s">
        <v>15</v>
      </c>
      <c r="K83" s="4">
        <v>0.7</v>
      </c>
      <c r="L83" s="3">
        <f t="shared" si="4"/>
        <v>8969.5969999999979</v>
      </c>
      <c r="M83" s="3">
        <f t="shared" si="5"/>
        <v>3844.1130000000003</v>
      </c>
      <c r="N83">
        <f t="shared" si="6"/>
        <v>6</v>
      </c>
      <c r="O83" s="3">
        <f t="shared" si="7"/>
        <v>12813.71</v>
      </c>
      <c r="P83" t="str" cm="1">
        <f t="array" ref="P83">_xlfn.IFS(C83&lt;18, "Under 18", C83&lt;36, "Btw 18&amp;35", C83&lt;51, "Btw 36&amp;50", C83&lt;66, "Btw 51&amp;65", C83&gt;=66," 66&amp;Above")</f>
        <v>Btw 18&amp;35</v>
      </c>
    </row>
    <row r="84" spans="1:16">
      <c r="A84" t="s">
        <v>211</v>
      </c>
      <c r="B84" t="s">
        <v>212</v>
      </c>
      <c r="C84">
        <v>62</v>
      </c>
      <c r="D84" t="s">
        <v>18</v>
      </c>
      <c r="E84" s="2">
        <v>45408</v>
      </c>
      <c r="F84" s="2">
        <v>45413</v>
      </c>
      <c r="G84" t="s">
        <v>60</v>
      </c>
      <c r="H84" t="s">
        <v>133</v>
      </c>
      <c r="I84" s="3">
        <v>13205.04</v>
      </c>
      <c r="J84" t="s">
        <v>15</v>
      </c>
      <c r="K84" s="4">
        <v>0.7</v>
      </c>
      <c r="L84" s="3">
        <f t="shared" si="4"/>
        <v>9243.5280000000002</v>
      </c>
      <c r="M84" s="3">
        <f t="shared" si="5"/>
        <v>3961.5120000000006</v>
      </c>
      <c r="N84">
        <f t="shared" si="6"/>
        <v>5</v>
      </c>
      <c r="O84" s="3">
        <f t="shared" si="7"/>
        <v>13205.04</v>
      </c>
      <c r="P84" t="str" cm="1">
        <f t="array" ref="P84">_xlfn.IFS(C84&lt;18, "Under 18", C84&lt;36, "Btw 18&amp;35", C84&lt;51, "Btw 36&amp;50", C84&lt;66, "Btw 51&amp;65", C84&gt;=66," 66&amp;Above")</f>
        <v>Btw 51&amp;65</v>
      </c>
    </row>
    <row r="85" spans="1:16">
      <c r="A85" t="s">
        <v>213</v>
      </c>
      <c r="B85" t="s">
        <v>214</v>
      </c>
      <c r="C85">
        <v>83</v>
      </c>
      <c r="D85" t="s">
        <v>12</v>
      </c>
      <c r="E85" s="2">
        <v>46013</v>
      </c>
      <c r="F85" s="2">
        <v>46020</v>
      </c>
      <c r="G85" t="s">
        <v>31</v>
      </c>
      <c r="H85" t="s">
        <v>32</v>
      </c>
      <c r="I85" s="3">
        <v>3620.28</v>
      </c>
      <c r="J85" t="s">
        <v>15</v>
      </c>
      <c r="K85" s="4">
        <v>0.8</v>
      </c>
      <c r="L85" s="3">
        <f t="shared" si="4"/>
        <v>2896.2240000000002</v>
      </c>
      <c r="M85" s="3">
        <f t="shared" si="5"/>
        <v>724.05599999999993</v>
      </c>
      <c r="N85">
        <f t="shared" si="6"/>
        <v>7</v>
      </c>
      <c r="O85" s="3">
        <f t="shared" si="7"/>
        <v>3620.28</v>
      </c>
      <c r="P85" t="str" cm="1">
        <f t="array" ref="P85">_xlfn.IFS(C85&lt;18, "Under 18", C85&lt;36, "Btw 18&amp;35", C85&lt;51, "Btw 36&amp;50", C85&lt;66, "Btw 51&amp;65", C85&gt;=66," 66&amp;Above")</f>
        <v xml:space="preserve"> 66&amp;Above</v>
      </c>
    </row>
    <row r="86" spans="1:16">
      <c r="A86" t="s">
        <v>215</v>
      </c>
      <c r="B86" t="s">
        <v>216</v>
      </c>
      <c r="C86">
        <v>76</v>
      </c>
      <c r="D86" t="s">
        <v>18</v>
      </c>
      <c r="E86" s="2">
        <v>45524</v>
      </c>
      <c r="F86" s="2">
        <v>45531</v>
      </c>
      <c r="G86" t="s">
        <v>31</v>
      </c>
      <c r="H86" t="s">
        <v>44</v>
      </c>
      <c r="I86" s="3">
        <v>7803.54</v>
      </c>
      <c r="J86" t="s">
        <v>20</v>
      </c>
      <c r="K86" s="4">
        <v>0.7</v>
      </c>
      <c r="L86" s="3">
        <f t="shared" si="4"/>
        <v>5462.4780000000001</v>
      </c>
      <c r="M86" s="3">
        <f t="shared" si="5"/>
        <v>2341.0620000000004</v>
      </c>
      <c r="N86">
        <f t="shared" si="6"/>
        <v>7</v>
      </c>
      <c r="O86" s="3">
        <f t="shared" si="7"/>
        <v>0</v>
      </c>
      <c r="P86" t="str" cm="1">
        <f t="array" ref="P86">_xlfn.IFS(C86&lt;18, "Under 18", C86&lt;36, "Btw 18&amp;35", C86&lt;51, "Btw 36&amp;50", C86&lt;66, "Btw 51&amp;65", C86&gt;=66," 66&amp;Above")</f>
        <v xml:space="preserve"> 66&amp;Above</v>
      </c>
    </row>
    <row r="87" spans="1:16">
      <c r="A87" t="s">
        <v>217</v>
      </c>
      <c r="B87" t="s">
        <v>218</v>
      </c>
      <c r="C87">
        <v>50</v>
      </c>
      <c r="D87" t="s">
        <v>18</v>
      </c>
      <c r="E87" s="2">
        <v>45659</v>
      </c>
      <c r="F87" s="2">
        <v>45667</v>
      </c>
      <c r="G87" t="s">
        <v>70</v>
      </c>
      <c r="H87" t="s">
        <v>71</v>
      </c>
      <c r="I87" s="3">
        <v>12412.35</v>
      </c>
      <c r="J87" t="s">
        <v>25</v>
      </c>
      <c r="K87" s="4">
        <v>0.9</v>
      </c>
      <c r="L87" s="3">
        <f t="shared" si="4"/>
        <v>11171.115</v>
      </c>
      <c r="M87" s="3">
        <f t="shared" si="5"/>
        <v>1241.2349999999997</v>
      </c>
      <c r="N87">
        <f t="shared" si="6"/>
        <v>8</v>
      </c>
      <c r="O87" s="3">
        <f t="shared" si="7"/>
        <v>0</v>
      </c>
      <c r="P87" t="str" cm="1">
        <f t="array" ref="P87">_xlfn.IFS(C87&lt;18, "Under 18", C87&lt;36, "Btw 18&amp;35", C87&lt;51, "Btw 36&amp;50", C87&lt;66, "Btw 51&amp;65", C87&gt;=66," 66&amp;Above")</f>
        <v>Btw 36&amp;50</v>
      </c>
    </row>
    <row r="88" spans="1:16">
      <c r="A88" t="s">
        <v>219</v>
      </c>
      <c r="B88" t="s">
        <v>220</v>
      </c>
      <c r="C88">
        <v>39</v>
      </c>
      <c r="D88" t="s">
        <v>18</v>
      </c>
      <c r="E88" s="2">
        <v>45989</v>
      </c>
      <c r="F88" s="2">
        <v>45991</v>
      </c>
      <c r="G88" t="s">
        <v>23</v>
      </c>
      <c r="H88" t="s">
        <v>221</v>
      </c>
      <c r="I88" s="3">
        <v>2598.06</v>
      </c>
      <c r="J88" t="s">
        <v>15</v>
      </c>
      <c r="K88" s="4">
        <v>0.8</v>
      </c>
      <c r="L88" s="3">
        <f t="shared" si="4"/>
        <v>2078.4479999999999</v>
      </c>
      <c r="M88" s="3">
        <f t="shared" si="5"/>
        <v>519.61199999999985</v>
      </c>
      <c r="N88">
        <f t="shared" si="6"/>
        <v>2</v>
      </c>
      <c r="O88" s="3">
        <f t="shared" si="7"/>
        <v>2598.06</v>
      </c>
      <c r="P88" t="str" cm="1">
        <f t="array" ref="P88">_xlfn.IFS(C88&lt;18, "Under 18", C88&lt;36, "Btw 18&amp;35", C88&lt;51, "Btw 36&amp;50", C88&lt;66, "Btw 51&amp;65", C88&gt;=66," 66&amp;Above")</f>
        <v>Btw 36&amp;50</v>
      </c>
    </row>
    <row r="89" spans="1:16">
      <c r="A89" t="s">
        <v>222</v>
      </c>
      <c r="B89" t="s">
        <v>223</v>
      </c>
      <c r="C89">
        <v>68</v>
      </c>
      <c r="D89" t="s">
        <v>12</v>
      </c>
      <c r="E89" s="2">
        <v>45720</v>
      </c>
      <c r="F89" s="2">
        <v>45727</v>
      </c>
      <c r="G89" t="s">
        <v>31</v>
      </c>
      <c r="H89" t="s">
        <v>114</v>
      </c>
      <c r="I89" s="3">
        <v>9165.89</v>
      </c>
      <c r="J89" t="s">
        <v>15</v>
      </c>
      <c r="K89" s="4">
        <v>0.7</v>
      </c>
      <c r="L89" s="3">
        <f t="shared" si="4"/>
        <v>6416.1229999999996</v>
      </c>
      <c r="M89" s="3">
        <f t="shared" si="5"/>
        <v>2749.7670000000003</v>
      </c>
      <c r="N89">
        <f t="shared" si="6"/>
        <v>7</v>
      </c>
      <c r="O89" s="3">
        <f t="shared" si="7"/>
        <v>9165.89</v>
      </c>
      <c r="P89" t="str" cm="1">
        <f t="array" ref="P89">_xlfn.IFS(C89&lt;18, "Under 18", C89&lt;36, "Btw 18&amp;35", C89&lt;51, "Btw 36&amp;50", C89&lt;66, "Btw 51&amp;65", C89&gt;=66," 66&amp;Above")</f>
        <v xml:space="preserve"> 66&amp;Above</v>
      </c>
    </row>
    <row r="90" spans="1:16">
      <c r="A90" t="s">
        <v>224</v>
      </c>
      <c r="B90" t="s">
        <v>225</v>
      </c>
      <c r="C90">
        <v>55</v>
      </c>
      <c r="D90" t="s">
        <v>18</v>
      </c>
      <c r="E90" s="2">
        <v>45874</v>
      </c>
      <c r="F90" s="2">
        <v>45876</v>
      </c>
      <c r="G90" t="s">
        <v>23</v>
      </c>
      <c r="H90" t="s">
        <v>24</v>
      </c>
      <c r="I90" s="3">
        <v>2783.91</v>
      </c>
      <c r="J90" t="s">
        <v>15</v>
      </c>
      <c r="K90" s="4">
        <v>0.7</v>
      </c>
      <c r="L90" s="3">
        <f t="shared" si="4"/>
        <v>1948.7369999999999</v>
      </c>
      <c r="M90" s="3">
        <f t="shared" si="5"/>
        <v>835.17300000000012</v>
      </c>
      <c r="N90">
        <f t="shared" si="6"/>
        <v>2</v>
      </c>
      <c r="O90" s="3">
        <f t="shared" si="7"/>
        <v>2783.91</v>
      </c>
      <c r="P90" t="str" cm="1">
        <f t="array" ref="P90">_xlfn.IFS(C90&lt;18, "Under 18", C90&lt;36, "Btw 18&amp;35", C90&lt;51, "Btw 36&amp;50", C90&lt;66, "Btw 51&amp;65", C90&gt;=66," 66&amp;Above")</f>
        <v>Btw 51&amp;65</v>
      </c>
    </row>
    <row r="91" spans="1:16">
      <c r="A91" t="s">
        <v>226</v>
      </c>
      <c r="B91" t="s">
        <v>227</v>
      </c>
      <c r="C91">
        <v>71</v>
      </c>
      <c r="D91" t="s">
        <v>18</v>
      </c>
      <c r="E91" s="2">
        <v>45679</v>
      </c>
      <c r="F91" s="2">
        <v>45688</v>
      </c>
      <c r="G91" t="s">
        <v>13</v>
      </c>
      <c r="H91" t="s">
        <v>19</v>
      </c>
      <c r="I91" s="3">
        <v>23939.75</v>
      </c>
      <c r="J91" t="s">
        <v>15</v>
      </c>
      <c r="K91" s="4">
        <v>0.6</v>
      </c>
      <c r="L91" s="3">
        <f t="shared" si="4"/>
        <v>14363.85</v>
      </c>
      <c r="M91" s="3">
        <f t="shared" si="5"/>
        <v>9575.9</v>
      </c>
      <c r="N91">
        <f t="shared" si="6"/>
        <v>9</v>
      </c>
      <c r="O91" s="3">
        <f t="shared" si="7"/>
        <v>23939.75</v>
      </c>
      <c r="P91" t="str" cm="1">
        <f t="array" ref="P91">_xlfn.IFS(C91&lt;18, "Under 18", C91&lt;36, "Btw 18&amp;35", C91&lt;51, "Btw 36&amp;50", C91&lt;66, "Btw 51&amp;65", C91&gt;=66," 66&amp;Above")</f>
        <v xml:space="preserve"> 66&amp;Above</v>
      </c>
    </row>
    <row r="92" spans="1:16">
      <c r="A92" t="s">
        <v>228</v>
      </c>
      <c r="B92" t="s">
        <v>229</v>
      </c>
      <c r="C92">
        <v>55</v>
      </c>
      <c r="D92" t="s">
        <v>18</v>
      </c>
      <c r="E92" s="2">
        <v>45778</v>
      </c>
      <c r="F92" s="2">
        <v>45786</v>
      </c>
      <c r="G92" t="s">
        <v>70</v>
      </c>
      <c r="H92" t="s">
        <v>157</v>
      </c>
      <c r="I92" s="3">
        <v>19244.54</v>
      </c>
      <c r="J92" t="s">
        <v>15</v>
      </c>
      <c r="K92" s="4">
        <v>0.8</v>
      </c>
      <c r="L92" s="3">
        <f t="shared" si="4"/>
        <v>15395.632000000001</v>
      </c>
      <c r="M92" s="3">
        <f t="shared" si="5"/>
        <v>3848.9079999999994</v>
      </c>
      <c r="N92">
        <f t="shared" si="6"/>
        <v>8</v>
      </c>
      <c r="O92" s="3">
        <f t="shared" si="7"/>
        <v>19244.54</v>
      </c>
      <c r="P92" t="str" cm="1">
        <f t="array" ref="P92">_xlfn.IFS(C92&lt;18, "Under 18", C92&lt;36, "Btw 18&amp;35", C92&lt;51, "Btw 36&amp;50", C92&lt;66, "Btw 51&amp;65", C92&gt;=66," 66&amp;Above")</f>
        <v>Btw 51&amp;65</v>
      </c>
    </row>
    <row r="93" spans="1:16">
      <c r="A93" t="s">
        <v>230</v>
      </c>
      <c r="B93" t="s">
        <v>231</v>
      </c>
      <c r="C93">
        <v>60</v>
      </c>
      <c r="D93" t="s">
        <v>18</v>
      </c>
      <c r="E93" s="2">
        <v>45490</v>
      </c>
      <c r="F93" s="2">
        <v>45499</v>
      </c>
      <c r="G93" t="s">
        <v>13</v>
      </c>
      <c r="H93" t="s">
        <v>14</v>
      </c>
      <c r="I93" s="3">
        <v>17194.91</v>
      </c>
      <c r="J93" t="s">
        <v>15</v>
      </c>
      <c r="K93" s="4">
        <v>0.9</v>
      </c>
      <c r="L93" s="3">
        <f t="shared" si="4"/>
        <v>15475.419</v>
      </c>
      <c r="M93" s="3">
        <f t="shared" si="5"/>
        <v>1719.4909999999995</v>
      </c>
      <c r="N93">
        <f t="shared" si="6"/>
        <v>9</v>
      </c>
      <c r="O93" s="3">
        <f t="shared" si="7"/>
        <v>17194.91</v>
      </c>
      <c r="P93" t="str" cm="1">
        <f t="array" ref="P93">_xlfn.IFS(C93&lt;18, "Under 18", C93&lt;36, "Btw 18&amp;35", C93&lt;51, "Btw 36&amp;50", C93&lt;66, "Btw 51&amp;65", C93&gt;=66," 66&amp;Above")</f>
        <v>Btw 51&amp;65</v>
      </c>
    </row>
    <row r="94" spans="1:16">
      <c r="A94" t="s">
        <v>232</v>
      </c>
      <c r="B94" t="s">
        <v>233</v>
      </c>
      <c r="C94">
        <v>62</v>
      </c>
      <c r="D94" t="s">
        <v>12</v>
      </c>
      <c r="E94" s="2">
        <v>45530</v>
      </c>
      <c r="F94" s="2">
        <v>45533</v>
      </c>
      <c r="G94" t="s">
        <v>31</v>
      </c>
      <c r="H94" t="s">
        <v>234</v>
      </c>
      <c r="I94" s="3">
        <v>3707.77</v>
      </c>
      <c r="J94" t="s">
        <v>15</v>
      </c>
      <c r="K94" s="4">
        <v>0.8</v>
      </c>
      <c r="L94" s="3">
        <f t="shared" si="4"/>
        <v>2966.2160000000003</v>
      </c>
      <c r="M94" s="3">
        <f t="shared" si="5"/>
        <v>741.55399999999986</v>
      </c>
      <c r="N94">
        <f t="shared" si="6"/>
        <v>3</v>
      </c>
      <c r="O94" s="3">
        <f t="shared" si="7"/>
        <v>3707.77</v>
      </c>
      <c r="P94" t="str" cm="1">
        <f t="array" ref="P94">_xlfn.IFS(C94&lt;18, "Under 18", C94&lt;36, "Btw 18&amp;35", C94&lt;51, "Btw 36&amp;50", C94&lt;66, "Btw 51&amp;65", C94&gt;=66," 66&amp;Above")</f>
        <v>Btw 51&amp;65</v>
      </c>
    </row>
    <row r="95" spans="1:16">
      <c r="A95" t="s">
        <v>235</v>
      </c>
      <c r="B95" t="s">
        <v>236</v>
      </c>
      <c r="C95">
        <v>62</v>
      </c>
      <c r="D95" t="s">
        <v>18</v>
      </c>
      <c r="E95" s="2">
        <v>45895</v>
      </c>
      <c r="F95" s="2">
        <v>45901</v>
      </c>
      <c r="G95" t="s">
        <v>70</v>
      </c>
      <c r="H95" t="s">
        <v>237</v>
      </c>
      <c r="I95" s="3">
        <v>11445.42</v>
      </c>
      <c r="J95" t="s">
        <v>20</v>
      </c>
      <c r="K95" s="4">
        <v>0.8</v>
      </c>
      <c r="L95" s="3">
        <f t="shared" si="4"/>
        <v>9156.3360000000011</v>
      </c>
      <c r="M95" s="3">
        <f t="shared" si="5"/>
        <v>2289.0839999999994</v>
      </c>
      <c r="N95">
        <f t="shared" si="6"/>
        <v>6</v>
      </c>
      <c r="O95" s="3">
        <f t="shared" si="7"/>
        <v>0</v>
      </c>
      <c r="P95" t="str" cm="1">
        <f t="array" ref="P95">_xlfn.IFS(C95&lt;18, "Under 18", C95&lt;36, "Btw 18&amp;35", C95&lt;51, "Btw 36&amp;50", C95&lt;66, "Btw 51&amp;65", C95&gt;=66," 66&amp;Above")</f>
        <v>Btw 51&amp;65</v>
      </c>
    </row>
    <row r="96" spans="1:16">
      <c r="A96" t="s">
        <v>238</v>
      </c>
      <c r="B96" t="s">
        <v>239</v>
      </c>
      <c r="C96">
        <v>52</v>
      </c>
      <c r="D96" t="s">
        <v>12</v>
      </c>
      <c r="E96" s="2">
        <v>45775</v>
      </c>
      <c r="F96" s="2">
        <v>45777</v>
      </c>
      <c r="G96" t="s">
        <v>31</v>
      </c>
      <c r="H96" t="s">
        <v>32</v>
      </c>
      <c r="I96" s="3">
        <v>1587.61</v>
      </c>
      <c r="J96" t="s">
        <v>20</v>
      </c>
      <c r="K96" s="4">
        <v>0.9</v>
      </c>
      <c r="L96" s="3">
        <f t="shared" si="4"/>
        <v>1428.8489999999999</v>
      </c>
      <c r="M96" s="3">
        <f t="shared" si="5"/>
        <v>158.76099999999997</v>
      </c>
      <c r="N96">
        <f t="shared" si="6"/>
        <v>2</v>
      </c>
      <c r="O96" s="3">
        <f t="shared" si="7"/>
        <v>0</v>
      </c>
      <c r="P96" t="str" cm="1">
        <f t="array" ref="P96">_xlfn.IFS(C96&lt;18, "Under 18", C96&lt;36, "Btw 18&amp;35", C96&lt;51, "Btw 36&amp;50", C96&lt;66, "Btw 51&amp;65", C96&gt;=66," 66&amp;Above")</f>
        <v>Btw 51&amp;65</v>
      </c>
    </row>
    <row r="97" spans="1:16">
      <c r="A97" t="s">
        <v>240</v>
      </c>
      <c r="B97" t="s">
        <v>241</v>
      </c>
      <c r="C97">
        <v>32</v>
      </c>
      <c r="D97" t="s">
        <v>12</v>
      </c>
      <c r="E97" s="2">
        <v>45589</v>
      </c>
      <c r="F97" s="2">
        <v>45591</v>
      </c>
      <c r="G97" t="s">
        <v>23</v>
      </c>
      <c r="H97" t="s">
        <v>82</v>
      </c>
      <c r="I97" s="3">
        <v>4946.29</v>
      </c>
      <c r="J97" t="s">
        <v>15</v>
      </c>
      <c r="K97" s="4">
        <v>0.8</v>
      </c>
      <c r="L97" s="3">
        <f t="shared" si="4"/>
        <v>3957.0320000000002</v>
      </c>
      <c r="M97" s="3">
        <f t="shared" si="5"/>
        <v>989.25799999999981</v>
      </c>
      <c r="N97">
        <f t="shared" si="6"/>
        <v>2</v>
      </c>
      <c r="O97" s="3">
        <f t="shared" si="7"/>
        <v>4946.29</v>
      </c>
      <c r="P97" t="str" cm="1">
        <f t="array" ref="P97">_xlfn.IFS(C97&lt;18, "Under 18", C97&lt;36, "Btw 18&amp;35", C97&lt;51, "Btw 36&amp;50", C97&lt;66, "Btw 51&amp;65", C97&gt;=66," 66&amp;Above")</f>
        <v>Btw 18&amp;35</v>
      </c>
    </row>
    <row r="98" spans="1:16">
      <c r="A98" t="s">
        <v>242</v>
      </c>
      <c r="B98" t="s">
        <v>243</v>
      </c>
      <c r="C98">
        <v>15</v>
      </c>
      <c r="D98" t="s">
        <v>12</v>
      </c>
      <c r="E98" s="2">
        <v>45594</v>
      </c>
      <c r="F98" s="2">
        <v>45597</v>
      </c>
      <c r="G98" t="s">
        <v>49</v>
      </c>
      <c r="H98" t="s">
        <v>123</v>
      </c>
      <c r="I98" s="3">
        <v>3757.58</v>
      </c>
      <c r="J98" t="s">
        <v>15</v>
      </c>
      <c r="K98" s="4">
        <v>0.8</v>
      </c>
      <c r="L98" s="3">
        <f t="shared" si="4"/>
        <v>3006.0640000000003</v>
      </c>
      <c r="M98" s="3">
        <f t="shared" si="5"/>
        <v>751.51599999999985</v>
      </c>
      <c r="N98">
        <f t="shared" si="6"/>
        <v>3</v>
      </c>
      <c r="O98" s="3">
        <f t="shared" si="7"/>
        <v>3757.58</v>
      </c>
      <c r="P98" t="str" cm="1">
        <f t="array" ref="P98">_xlfn.IFS(C98&lt;18, "Under 18", C98&lt;36, "Btw 18&amp;35", C98&lt;51, "Btw 36&amp;50", C98&lt;66, "Btw 51&amp;65", C98&gt;=66," 66&amp;Above")</f>
        <v>Under 18</v>
      </c>
    </row>
    <row r="99" spans="1:16">
      <c r="A99" t="s">
        <v>244</v>
      </c>
      <c r="B99" t="s">
        <v>245</v>
      </c>
      <c r="C99">
        <v>61</v>
      </c>
      <c r="D99" t="s">
        <v>12</v>
      </c>
      <c r="E99" s="2">
        <v>45765</v>
      </c>
      <c r="F99" s="2">
        <v>45770</v>
      </c>
      <c r="G99" t="s">
        <v>13</v>
      </c>
      <c r="H99" t="s">
        <v>111</v>
      </c>
      <c r="I99" s="3">
        <v>10173.43</v>
      </c>
      <c r="J99" t="s">
        <v>25</v>
      </c>
      <c r="K99" s="4">
        <v>0.7</v>
      </c>
      <c r="L99" s="3">
        <f t="shared" si="4"/>
        <v>7121.4009999999998</v>
      </c>
      <c r="M99" s="3">
        <f t="shared" si="5"/>
        <v>3052.0290000000005</v>
      </c>
      <c r="N99">
        <f t="shared" si="6"/>
        <v>5</v>
      </c>
      <c r="O99" s="3">
        <f t="shared" si="7"/>
        <v>0</v>
      </c>
      <c r="P99" t="str" cm="1">
        <f t="array" ref="P99">_xlfn.IFS(C99&lt;18, "Under 18", C99&lt;36, "Btw 18&amp;35", C99&lt;51, "Btw 36&amp;50", C99&lt;66, "Btw 51&amp;65", C99&gt;=66," 66&amp;Above")</f>
        <v>Btw 51&amp;65</v>
      </c>
    </row>
    <row r="100" spans="1:16">
      <c r="A100" t="s">
        <v>246</v>
      </c>
      <c r="B100" t="s">
        <v>247</v>
      </c>
      <c r="C100">
        <v>1</v>
      </c>
      <c r="D100" t="s">
        <v>18</v>
      </c>
      <c r="E100" s="2">
        <v>45646</v>
      </c>
      <c r="F100" s="2">
        <v>45651</v>
      </c>
      <c r="G100" t="s">
        <v>49</v>
      </c>
      <c r="H100" t="s">
        <v>123</v>
      </c>
      <c r="I100" s="3">
        <v>4626.03</v>
      </c>
      <c r="J100" t="s">
        <v>20</v>
      </c>
      <c r="K100" s="4">
        <v>0.5</v>
      </c>
      <c r="L100" s="3">
        <f t="shared" si="4"/>
        <v>2313.0149999999999</v>
      </c>
      <c r="M100" s="3">
        <f t="shared" si="5"/>
        <v>2313.0149999999999</v>
      </c>
      <c r="N100">
        <f t="shared" si="6"/>
        <v>5</v>
      </c>
      <c r="O100" s="3">
        <f t="shared" si="7"/>
        <v>0</v>
      </c>
      <c r="P100" t="str" cm="1">
        <f t="array" ref="P100">_xlfn.IFS(C100&lt;18, "Under 18", C100&lt;36, "Btw 18&amp;35", C100&lt;51, "Btw 36&amp;50", C100&lt;66, "Btw 51&amp;65", C100&gt;=66," 66&amp;Above")</f>
        <v>Under 18</v>
      </c>
    </row>
    <row r="101" spans="1:16">
      <c r="A101" t="s">
        <v>248</v>
      </c>
      <c r="B101" t="s">
        <v>161</v>
      </c>
      <c r="C101">
        <v>28</v>
      </c>
      <c r="D101" t="s">
        <v>18</v>
      </c>
      <c r="E101" s="2">
        <v>45612</v>
      </c>
      <c r="F101" s="2">
        <v>45615</v>
      </c>
      <c r="G101" t="s">
        <v>31</v>
      </c>
      <c r="H101" t="s">
        <v>87</v>
      </c>
      <c r="I101" s="3">
        <v>3159.6</v>
      </c>
      <c r="J101" t="s">
        <v>15</v>
      </c>
      <c r="K101" s="4">
        <v>0.8</v>
      </c>
      <c r="L101" s="3">
        <f t="shared" si="4"/>
        <v>2527.6800000000003</v>
      </c>
      <c r="M101" s="3">
        <f t="shared" si="5"/>
        <v>631.91999999999985</v>
      </c>
      <c r="N101">
        <f t="shared" si="6"/>
        <v>3</v>
      </c>
      <c r="O101" s="3">
        <f t="shared" si="7"/>
        <v>3159.6</v>
      </c>
      <c r="P101" t="str" cm="1">
        <f t="array" ref="P101">_xlfn.IFS(C101&lt;18, "Under 18", C101&lt;36, "Btw 18&amp;35", C101&lt;51, "Btw 36&amp;50", C101&lt;66, "Btw 51&amp;65", C101&gt;=66," 66&amp;Above")</f>
        <v>Btw 18&amp;35</v>
      </c>
    </row>
    <row r="102" spans="1:16">
      <c r="A102" t="s">
        <v>249</v>
      </c>
      <c r="B102" t="s">
        <v>250</v>
      </c>
      <c r="C102">
        <v>78</v>
      </c>
      <c r="D102" t="s">
        <v>12</v>
      </c>
      <c r="E102" s="2">
        <v>45326</v>
      </c>
      <c r="F102" s="2">
        <v>45329</v>
      </c>
      <c r="G102" t="s">
        <v>23</v>
      </c>
      <c r="H102" t="s">
        <v>41</v>
      </c>
      <c r="I102" s="3">
        <v>6630.7</v>
      </c>
      <c r="J102" t="s">
        <v>15</v>
      </c>
      <c r="K102" s="4">
        <v>0.9</v>
      </c>
      <c r="L102" s="3">
        <f t="shared" si="4"/>
        <v>5967.63</v>
      </c>
      <c r="M102" s="3">
        <f t="shared" si="5"/>
        <v>663.06999999999982</v>
      </c>
      <c r="N102">
        <f t="shared" si="6"/>
        <v>3</v>
      </c>
      <c r="O102" s="3">
        <f t="shared" si="7"/>
        <v>6630.7</v>
      </c>
      <c r="P102" t="str" cm="1">
        <f t="array" ref="P102">_xlfn.IFS(C102&lt;18, "Under 18", C102&lt;36, "Btw 18&amp;35", C102&lt;51, "Btw 36&amp;50", C102&lt;66, "Btw 51&amp;65", C102&gt;=66," 66&amp;Above")</f>
        <v xml:space="preserve"> 66&amp;Above</v>
      </c>
    </row>
    <row r="103" spans="1:16">
      <c r="A103" t="s">
        <v>251</v>
      </c>
      <c r="B103" t="s">
        <v>252</v>
      </c>
      <c r="C103">
        <v>51</v>
      </c>
      <c r="D103" t="s">
        <v>12</v>
      </c>
      <c r="E103" s="2">
        <v>45392</v>
      </c>
      <c r="F103" s="2">
        <v>45401</v>
      </c>
      <c r="G103" t="s">
        <v>70</v>
      </c>
      <c r="H103" t="s">
        <v>71</v>
      </c>
      <c r="I103" s="3">
        <v>17220.650000000001</v>
      </c>
      <c r="J103" t="s">
        <v>25</v>
      </c>
      <c r="K103" s="4">
        <v>0.7</v>
      </c>
      <c r="L103" s="3">
        <f t="shared" si="4"/>
        <v>12054.455</v>
      </c>
      <c r="M103" s="3">
        <f t="shared" si="5"/>
        <v>5166.1950000000015</v>
      </c>
      <c r="N103">
        <f t="shared" si="6"/>
        <v>9</v>
      </c>
      <c r="O103" s="3">
        <f t="shared" si="7"/>
        <v>0</v>
      </c>
      <c r="P103" t="str" cm="1">
        <f t="array" ref="P103">_xlfn.IFS(C103&lt;18, "Under 18", C103&lt;36, "Btw 18&amp;35", C103&lt;51, "Btw 36&amp;50", C103&lt;66, "Btw 51&amp;65", C103&gt;=66," 66&amp;Above")</f>
        <v>Btw 51&amp;65</v>
      </c>
    </row>
    <row r="104" spans="1:16">
      <c r="A104" t="s">
        <v>253</v>
      </c>
      <c r="B104" t="s">
        <v>254</v>
      </c>
      <c r="C104">
        <v>70</v>
      </c>
      <c r="D104" t="s">
        <v>12</v>
      </c>
      <c r="E104" s="2">
        <v>45347</v>
      </c>
      <c r="F104" s="2">
        <v>45352</v>
      </c>
      <c r="G104" t="s">
        <v>60</v>
      </c>
      <c r="H104" t="s">
        <v>97</v>
      </c>
      <c r="I104" s="3">
        <v>13557.6</v>
      </c>
      <c r="J104" t="s">
        <v>15</v>
      </c>
      <c r="K104" s="4">
        <v>0.9</v>
      </c>
      <c r="L104" s="3">
        <f t="shared" si="4"/>
        <v>12201.84</v>
      </c>
      <c r="M104" s="3">
        <f t="shared" si="5"/>
        <v>1355.7599999999998</v>
      </c>
      <c r="N104">
        <f t="shared" si="6"/>
        <v>5</v>
      </c>
      <c r="O104" s="3">
        <f t="shared" si="7"/>
        <v>13557.6</v>
      </c>
      <c r="P104" t="str" cm="1">
        <f t="array" ref="P104">_xlfn.IFS(C104&lt;18, "Under 18", C104&lt;36, "Btw 18&amp;35", C104&lt;51, "Btw 36&amp;50", C104&lt;66, "Btw 51&amp;65", C104&gt;=66," 66&amp;Above")</f>
        <v xml:space="preserve"> 66&amp;Above</v>
      </c>
    </row>
    <row r="105" spans="1:16">
      <c r="A105" t="s">
        <v>255</v>
      </c>
      <c r="B105" t="s">
        <v>256</v>
      </c>
      <c r="C105">
        <v>51</v>
      </c>
      <c r="D105" t="s">
        <v>12</v>
      </c>
      <c r="E105" s="2">
        <v>45758</v>
      </c>
      <c r="F105" s="2">
        <v>45760</v>
      </c>
      <c r="G105" t="s">
        <v>31</v>
      </c>
      <c r="H105" t="s">
        <v>234</v>
      </c>
      <c r="I105" s="3">
        <v>1460.86</v>
      </c>
      <c r="J105" t="s">
        <v>25</v>
      </c>
      <c r="K105" s="4">
        <v>0.7</v>
      </c>
      <c r="L105" s="3">
        <f t="shared" si="4"/>
        <v>1022.6019999999999</v>
      </c>
      <c r="M105" s="3">
        <f t="shared" si="5"/>
        <v>438.25800000000004</v>
      </c>
      <c r="N105">
        <f t="shared" si="6"/>
        <v>2</v>
      </c>
      <c r="O105" s="3">
        <f t="shared" si="7"/>
        <v>0</v>
      </c>
      <c r="P105" t="str" cm="1">
        <f t="array" ref="P105">_xlfn.IFS(C105&lt;18, "Under 18", C105&lt;36, "Btw 18&amp;35", C105&lt;51, "Btw 36&amp;50", C105&lt;66, "Btw 51&amp;65", C105&gt;=66," 66&amp;Above")</f>
        <v>Btw 51&amp;65</v>
      </c>
    </row>
    <row r="106" spans="1:16">
      <c r="A106" t="s">
        <v>257</v>
      </c>
      <c r="B106" t="s">
        <v>258</v>
      </c>
      <c r="C106">
        <v>57</v>
      </c>
      <c r="D106" t="s">
        <v>12</v>
      </c>
      <c r="E106" s="2">
        <v>45669</v>
      </c>
      <c r="F106" s="2">
        <v>45672</v>
      </c>
      <c r="G106" t="s">
        <v>70</v>
      </c>
      <c r="H106" t="s">
        <v>237</v>
      </c>
      <c r="I106" s="3">
        <v>5152.58</v>
      </c>
      <c r="J106" t="s">
        <v>15</v>
      </c>
      <c r="K106" s="4">
        <v>0</v>
      </c>
      <c r="L106" s="3">
        <f t="shared" si="4"/>
        <v>0</v>
      </c>
      <c r="M106" s="3">
        <f t="shared" si="5"/>
        <v>5152.58</v>
      </c>
      <c r="N106">
        <f t="shared" si="6"/>
        <v>3</v>
      </c>
      <c r="O106" s="3">
        <f t="shared" si="7"/>
        <v>5152.58</v>
      </c>
      <c r="P106" t="str" cm="1">
        <f t="array" ref="P106">_xlfn.IFS(C106&lt;18, "Under 18", C106&lt;36, "Btw 18&amp;35", C106&lt;51, "Btw 36&amp;50", C106&lt;66, "Btw 51&amp;65", C106&gt;=66," 66&amp;Above")</f>
        <v>Btw 51&amp;65</v>
      </c>
    </row>
    <row r="107" spans="1:16">
      <c r="A107" t="s">
        <v>259</v>
      </c>
      <c r="B107" t="s">
        <v>260</v>
      </c>
      <c r="C107">
        <v>37</v>
      </c>
      <c r="D107" t="s">
        <v>18</v>
      </c>
      <c r="E107" s="2">
        <v>45865</v>
      </c>
      <c r="F107" s="2">
        <v>45866</v>
      </c>
      <c r="G107" t="s">
        <v>23</v>
      </c>
      <c r="H107" t="s">
        <v>28</v>
      </c>
      <c r="I107" s="3">
        <v>954.61</v>
      </c>
      <c r="J107" t="s">
        <v>15</v>
      </c>
      <c r="K107" s="4">
        <v>0.9</v>
      </c>
      <c r="L107" s="3">
        <f t="shared" si="4"/>
        <v>859.149</v>
      </c>
      <c r="M107" s="3">
        <f t="shared" si="5"/>
        <v>95.460999999999984</v>
      </c>
      <c r="N107">
        <f t="shared" si="6"/>
        <v>1</v>
      </c>
      <c r="O107" s="3">
        <f t="shared" si="7"/>
        <v>954.61</v>
      </c>
      <c r="P107" t="str" cm="1">
        <f t="array" ref="P107">_xlfn.IFS(C107&lt;18, "Under 18", C107&lt;36, "Btw 18&amp;35", C107&lt;51, "Btw 36&amp;50", C107&lt;66, "Btw 51&amp;65", C107&gt;=66," 66&amp;Above")</f>
        <v>Btw 36&amp;50</v>
      </c>
    </row>
    <row r="108" spans="1:16">
      <c r="A108" t="s">
        <v>261</v>
      </c>
      <c r="B108" t="s">
        <v>262</v>
      </c>
      <c r="C108">
        <v>59</v>
      </c>
      <c r="D108" t="s">
        <v>12</v>
      </c>
      <c r="E108" s="2">
        <v>45703</v>
      </c>
      <c r="F108" s="2">
        <v>45709</v>
      </c>
      <c r="G108" t="s">
        <v>13</v>
      </c>
      <c r="H108" t="s">
        <v>111</v>
      </c>
      <c r="I108" s="3">
        <v>11951.45</v>
      </c>
      <c r="J108" t="s">
        <v>15</v>
      </c>
      <c r="K108" s="4">
        <v>1</v>
      </c>
      <c r="L108" s="3">
        <f t="shared" si="4"/>
        <v>11951.45</v>
      </c>
      <c r="M108" s="3">
        <f t="shared" si="5"/>
        <v>0</v>
      </c>
      <c r="N108">
        <f t="shared" si="6"/>
        <v>6</v>
      </c>
      <c r="O108" s="3">
        <f t="shared" si="7"/>
        <v>11951.45</v>
      </c>
      <c r="P108" t="str" cm="1">
        <f t="array" ref="P108">_xlfn.IFS(C108&lt;18, "Under 18", C108&lt;36, "Btw 18&amp;35", C108&lt;51, "Btw 36&amp;50", C108&lt;66, "Btw 51&amp;65", C108&gt;=66," 66&amp;Above")</f>
        <v>Btw 51&amp;65</v>
      </c>
    </row>
    <row r="109" spans="1:16">
      <c r="A109" t="s">
        <v>263</v>
      </c>
      <c r="B109" t="s">
        <v>179</v>
      </c>
      <c r="C109">
        <v>2</v>
      </c>
      <c r="D109" t="s">
        <v>12</v>
      </c>
      <c r="E109" s="2">
        <v>45391</v>
      </c>
      <c r="F109" s="2">
        <v>45393</v>
      </c>
      <c r="G109" t="s">
        <v>49</v>
      </c>
      <c r="H109" t="s">
        <v>123</v>
      </c>
      <c r="I109" s="3">
        <v>3169.16</v>
      </c>
      <c r="J109" t="s">
        <v>20</v>
      </c>
      <c r="K109" s="4">
        <v>0.6</v>
      </c>
      <c r="L109" s="3">
        <f t="shared" si="4"/>
        <v>1901.4959999999999</v>
      </c>
      <c r="M109" s="3">
        <f t="shared" si="5"/>
        <v>1267.664</v>
      </c>
      <c r="N109">
        <f t="shared" si="6"/>
        <v>2</v>
      </c>
      <c r="O109" s="3">
        <f t="shared" si="7"/>
        <v>0</v>
      </c>
      <c r="P109" t="str" cm="1">
        <f t="array" ref="P109">_xlfn.IFS(C109&lt;18, "Under 18", C109&lt;36, "Btw 18&amp;35", C109&lt;51, "Btw 36&amp;50", C109&lt;66, "Btw 51&amp;65", C109&gt;=66," 66&amp;Above")</f>
        <v>Under 18</v>
      </c>
    </row>
    <row r="110" spans="1:16">
      <c r="A110" t="s">
        <v>264</v>
      </c>
      <c r="B110" t="s">
        <v>265</v>
      </c>
      <c r="C110">
        <v>55</v>
      </c>
      <c r="D110" t="s">
        <v>12</v>
      </c>
      <c r="E110" s="2">
        <v>45784</v>
      </c>
      <c r="F110" s="2">
        <v>45785</v>
      </c>
      <c r="G110" t="s">
        <v>31</v>
      </c>
      <c r="H110" t="s">
        <v>87</v>
      </c>
      <c r="I110" s="3">
        <v>1178.75</v>
      </c>
      <c r="J110" t="s">
        <v>15</v>
      </c>
      <c r="K110" s="4">
        <v>0.7</v>
      </c>
      <c r="L110" s="3">
        <f t="shared" si="4"/>
        <v>825.125</v>
      </c>
      <c r="M110" s="3">
        <f t="shared" si="5"/>
        <v>353.62500000000006</v>
      </c>
      <c r="N110">
        <f t="shared" si="6"/>
        <v>1</v>
      </c>
      <c r="O110" s="3">
        <f t="shared" si="7"/>
        <v>1178.75</v>
      </c>
      <c r="P110" t="str" cm="1">
        <f t="array" ref="P110">_xlfn.IFS(C110&lt;18, "Under 18", C110&lt;36, "Btw 18&amp;35", C110&lt;51, "Btw 36&amp;50", C110&lt;66, "Btw 51&amp;65", C110&gt;=66," 66&amp;Above")</f>
        <v>Btw 51&amp;65</v>
      </c>
    </row>
    <row r="111" spans="1:16">
      <c r="A111" t="s">
        <v>266</v>
      </c>
      <c r="B111" t="s">
        <v>267</v>
      </c>
      <c r="C111">
        <v>69</v>
      </c>
      <c r="D111" t="s">
        <v>12</v>
      </c>
      <c r="E111" s="2">
        <v>45402</v>
      </c>
      <c r="F111" s="2">
        <v>45405</v>
      </c>
      <c r="G111" t="s">
        <v>23</v>
      </c>
      <c r="H111" t="s">
        <v>24</v>
      </c>
      <c r="I111" s="3">
        <v>4895.09</v>
      </c>
      <c r="J111" t="s">
        <v>25</v>
      </c>
      <c r="K111" s="4">
        <v>0.5</v>
      </c>
      <c r="L111" s="3">
        <f t="shared" si="4"/>
        <v>2447.5450000000001</v>
      </c>
      <c r="M111" s="3">
        <f t="shared" si="5"/>
        <v>2447.5450000000001</v>
      </c>
      <c r="N111">
        <f t="shared" si="6"/>
        <v>3</v>
      </c>
      <c r="O111" s="3">
        <f t="shared" si="7"/>
        <v>0</v>
      </c>
      <c r="P111" t="str" cm="1">
        <f t="array" ref="P111">_xlfn.IFS(C111&lt;18, "Under 18", C111&lt;36, "Btw 18&amp;35", C111&lt;51, "Btw 36&amp;50", C111&lt;66, "Btw 51&amp;65", C111&gt;=66," 66&amp;Above")</f>
        <v xml:space="preserve"> 66&amp;Above</v>
      </c>
    </row>
    <row r="112" spans="1:16">
      <c r="A112" t="s">
        <v>268</v>
      </c>
      <c r="B112" t="s">
        <v>110</v>
      </c>
      <c r="C112">
        <v>2</v>
      </c>
      <c r="D112" t="s">
        <v>12</v>
      </c>
      <c r="E112" s="2">
        <v>45580</v>
      </c>
      <c r="F112" s="2">
        <v>45581</v>
      </c>
      <c r="G112" t="s">
        <v>49</v>
      </c>
      <c r="H112" t="s">
        <v>117</v>
      </c>
      <c r="I112" s="3">
        <v>819.61</v>
      </c>
      <c r="J112" t="s">
        <v>15</v>
      </c>
      <c r="K112" s="4">
        <v>0.8</v>
      </c>
      <c r="L112" s="3">
        <f t="shared" si="4"/>
        <v>655.6880000000001</v>
      </c>
      <c r="M112" s="3">
        <f t="shared" si="5"/>
        <v>163.92199999999997</v>
      </c>
      <c r="N112">
        <f t="shared" si="6"/>
        <v>1</v>
      </c>
      <c r="O112" s="3">
        <f t="shared" si="7"/>
        <v>819.61</v>
      </c>
      <c r="P112" t="str" cm="1">
        <f t="array" ref="P112">_xlfn.IFS(C112&lt;18, "Under 18", C112&lt;36, "Btw 18&amp;35", C112&lt;51, "Btw 36&amp;50", C112&lt;66, "Btw 51&amp;65", C112&gt;=66," 66&amp;Above")</f>
        <v>Under 18</v>
      </c>
    </row>
    <row r="113" spans="1:16">
      <c r="A113" t="s">
        <v>269</v>
      </c>
      <c r="B113" t="s">
        <v>270</v>
      </c>
      <c r="C113">
        <v>40</v>
      </c>
      <c r="D113" t="s">
        <v>18</v>
      </c>
      <c r="E113" s="2">
        <v>45630</v>
      </c>
      <c r="F113" s="2">
        <v>45632</v>
      </c>
      <c r="G113" t="s">
        <v>23</v>
      </c>
      <c r="H113" t="s">
        <v>24</v>
      </c>
      <c r="I113" s="3">
        <v>2899.4</v>
      </c>
      <c r="J113" t="s">
        <v>20</v>
      </c>
      <c r="K113" s="4">
        <v>0.7</v>
      </c>
      <c r="L113" s="3">
        <f t="shared" si="4"/>
        <v>2029.58</v>
      </c>
      <c r="M113" s="3">
        <f t="shared" si="5"/>
        <v>869.82000000000016</v>
      </c>
      <c r="N113">
        <f t="shared" si="6"/>
        <v>2</v>
      </c>
      <c r="O113" s="3">
        <f t="shared" si="7"/>
        <v>0</v>
      </c>
      <c r="P113" t="str" cm="1">
        <f t="array" ref="P113">_xlfn.IFS(C113&lt;18, "Under 18", C113&lt;36, "Btw 18&amp;35", C113&lt;51, "Btw 36&amp;50", C113&lt;66, "Btw 51&amp;65", C113&gt;=66," 66&amp;Above")</f>
        <v>Btw 36&amp;50</v>
      </c>
    </row>
    <row r="114" spans="1:16">
      <c r="A114" t="s">
        <v>271</v>
      </c>
      <c r="B114" t="s">
        <v>272</v>
      </c>
      <c r="C114">
        <v>4</v>
      </c>
      <c r="D114" t="s">
        <v>18</v>
      </c>
      <c r="E114" s="2">
        <v>45296</v>
      </c>
      <c r="F114" s="2">
        <v>45298</v>
      </c>
      <c r="G114" t="s">
        <v>49</v>
      </c>
      <c r="H114" t="s">
        <v>123</v>
      </c>
      <c r="I114" s="3">
        <v>2638.05</v>
      </c>
      <c r="J114" t="s">
        <v>20</v>
      </c>
      <c r="K114" s="4">
        <v>0.9</v>
      </c>
      <c r="L114" s="3">
        <f t="shared" si="4"/>
        <v>2374.2450000000003</v>
      </c>
      <c r="M114" s="3">
        <f t="shared" si="5"/>
        <v>263.80499999999995</v>
      </c>
      <c r="N114">
        <f t="shared" si="6"/>
        <v>2</v>
      </c>
      <c r="O114" s="3">
        <f t="shared" si="7"/>
        <v>0</v>
      </c>
      <c r="P114" t="str" cm="1">
        <f t="array" ref="P114">_xlfn.IFS(C114&lt;18, "Under 18", C114&lt;36, "Btw 18&amp;35", C114&lt;51, "Btw 36&amp;50", C114&lt;66, "Btw 51&amp;65", C114&gt;=66," 66&amp;Above")</f>
        <v>Under 18</v>
      </c>
    </row>
    <row r="115" spans="1:16">
      <c r="A115" t="s">
        <v>273</v>
      </c>
      <c r="B115" t="s">
        <v>274</v>
      </c>
      <c r="C115">
        <v>19</v>
      </c>
      <c r="D115" t="s">
        <v>18</v>
      </c>
      <c r="E115" s="2">
        <v>45420</v>
      </c>
      <c r="F115" s="2">
        <v>45423</v>
      </c>
      <c r="G115" t="s">
        <v>23</v>
      </c>
      <c r="H115" t="s">
        <v>28</v>
      </c>
      <c r="I115" s="3">
        <v>6176.26</v>
      </c>
      <c r="J115" t="s">
        <v>20</v>
      </c>
      <c r="K115" s="4">
        <v>0.7</v>
      </c>
      <c r="L115" s="3">
        <f t="shared" si="4"/>
        <v>4323.3819999999996</v>
      </c>
      <c r="M115" s="3">
        <f t="shared" si="5"/>
        <v>1852.8780000000004</v>
      </c>
      <c r="N115">
        <f t="shared" si="6"/>
        <v>3</v>
      </c>
      <c r="O115" s="3">
        <f t="shared" si="7"/>
        <v>0</v>
      </c>
      <c r="P115" t="str" cm="1">
        <f t="array" ref="P115">_xlfn.IFS(C115&lt;18, "Under 18", C115&lt;36, "Btw 18&amp;35", C115&lt;51, "Btw 36&amp;50", C115&lt;66, "Btw 51&amp;65", C115&gt;=66," 66&amp;Above")</f>
        <v>Btw 18&amp;35</v>
      </c>
    </row>
    <row r="116" spans="1:16">
      <c r="A116" t="s">
        <v>275</v>
      </c>
      <c r="B116" t="s">
        <v>276</v>
      </c>
      <c r="C116">
        <v>29</v>
      </c>
      <c r="D116" t="s">
        <v>12</v>
      </c>
      <c r="E116" s="2">
        <v>45912</v>
      </c>
      <c r="F116" s="2">
        <v>45915</v>
      </c>
      <c r="G116" t="s">
        <v>60</v>
      </c>
      <c r="H116" t="s">
        <v>142</v>
      </c>
      <c r="I116" s="3">
        <v>4035.23</v>
      </c>
      <c r="J116" t="s">
        <v>15</v>
      </c>
      <c r="K116" s="4">
        <v>0.8</v>
      </c>
      <c r="L116" s="3">
        <f t="shared" si="4"/>
        <v>3228.1840000000002</v>
      </c>
      <c r="M116" s="3">
        <f t="shared" si="5"/>
        <v>807.04599999999982</v>
      </c>
      <c r="N116">
        <f t="shared" si="6"/>
        <v>3</v>
      </c>
      <c r="O116" s="3">
        <f t="shared" si="7"/>
        <v>4035.23</v>
      </c>
      <c r="P116" t="str" cm="1">
        <f t="array" ref="P116">_xlfn.IFS(C116&lt;18, "Under 18", C116&lt;36, "Btw 18&amp;35", C116&lt;51, "Btw 36&amp;50", C116&lt;66, "Btw 51&amp;65", C116&gt;=66," 66&amp;Above")</f>
        <v>Btw 18&amp;35</v>
      </c>
    </row>
    <row r="117" spans="1:16">
      <c r="A117" t="s">
        <v>277</v>
      </c>
      <c r="B117" t="s">
        <v>278</v>
      </c>
      <c r="C117">
        <v>36</v>
      </c>
      <c r="D117" t="s">
        <v>18</v>
      </c>
      <c r="E117" s="2">
        <v>45377</v>
      </c>
      <c r="F117" s="2">
        <v>45379</v>
      </c>
      <c r="G117" t="s">
        <v>31</v>
      </c>
      <c r="H117" t="s">
        <v>87</v>
      </c>
      <c r="I117" s="3">
        <v>1068.76</v>
      </c>
      <c r="J117" t="s">
        <v>15</v>
      </c>
      <c r="K117" s="4">
        <v>0.8</v>
      </c>
      <c r="L117" s="3">
        <f t="shared" si="4"/>
        <v>855.00800000000004</v>
      </c>
      <c r="M117" s="3">
        <f t="shared" si="5"/>
        <v>213.75199999999995</v>
      </c>
      <c r="N117">
        <f t="shared" si="6"/>
        <v>2</v>
      </c>
      <c r="O117" s="3">
        <f t="shared" si="7"/>
        <v>1068.76</v>
      </c>
      <c r="P117" t="str" cm="1">
        <f t="array" ref="P117">_xlfn.IFS(C117&lt;18, "Under 18", C117&lt;36, "Btw 18&amp;35", C117&lt;51, "Btw 36&amp;50", C117&lt;66, "Btw 51&amp;65", C117&gt;=66," 66&amp;Above")</f>
        <v>Btw 36&amp;50</v>
      </c>
    </row>
    <row r="118" spans="1:16">
      <c r="A118" t="s">
        <v>279</v>
      </c>
      <c r="B118" t="s">
        <v>280</v>
      </c>
      <c r="C118">
        <v>45</v>
      </c>
      <c r="D118" t="s">
        <v>12</v>
      </c>
      <c r="E118" s="2">
        <v>45460</v>
      </c>
      <c r="F118" s="2">
        <v>45463</v>
      </c>
      <c r="G118" t="s">
        <v>23</v>
      </c>
      <c r="H118" t="s">
        <v>221</v>
      </c>
      <c r="I118" s="3">
        <v>2606.79</v>
      </c>
      <c r="J118" t="s">
        <v>20</v>
      </c>
      <c r="K118" s="4">
        <v>0.7</v>
      </c>
      <c r="L118" s="3">
        <f t="shared" si="4"/>
        <v>1824.7529999999999</v>
      </c>
      <c r="M118" s="3">
        <f t="shared" si="5"/>
        <v>782.03700000000015</v>
      </c>
      <c r="N118">
        <f t="shared" si="6"/>
        <v>3</v>
      </c>
      <c r="O118" s="3">
        <f t="shared" si="7"/>
        <v>0</v>
      </c>
      <c r="P118" t="str" cm="1">
        <f t="array" ref="P118">_xlfn.IFS(C118&lt;18, "Under 18", C118&lt;36, "Btw 18&amp;35", C118&lt;51, "Btw 36&amp;50", C118&lt;66, "Btw 51&amp;65", C118&gt;=66," 66&amp;Above")</f>
        <v>Btw 36&amp;50</v>
      </c>
    </row>
    <row r="119" spans="1:16">
      <c r="A119" t="s">
        <v>281</v>
      </c>
      <c r="B119" t="s">
        <v>282</v>
      </c>
      <c r="C119">
        <v>2</v>
      </c>
      <c r="D119" t="s">
        <v>18</v>
      </c>
      <c r="E119" s="2">
        <v>45821</v>
      </c>
      <c r="F119" s="2">
        <v>45823</v>
      </c>
      <c r="G119" t="s">
        <v>49</v>
      </c>
      <c r="H119" t="s">
        <v>50</v>
      </c>
      <c r="I119" s="3">
        <v>2856.34</v>
      </c>
      <c r="J119" t="s">
        <v>20</v>
      </c>
      <c r="K119" s="4">
        <v>1</v>
      </c>
      <c r="L119" s="3">
        <f t="shared" si="4"/>
        <v>2856.34</v>
      </c>
      <c r="M119" s="3">
        <f t="shared" si="5"/>
        <v>0</v>
      </c>
      <c r="N119">
        <f t="shared" si="6"/>
        <v>2</v>
      </c>
      <c r="O119" s="3">
        <f t="shared" si="7"/>
        <v>0</v>
      </c>
      <c r="P119" t="str" cm="1">
        <f t="array" ref="P119">_xlfn.IFS(C119&lt;18, "Under 18", C119&lt;36, "Btw 18&amp;35", C119&lt;51, "Btw 36&amp;50", C119&lt;66, "Btw 51&amp;65", C119&gt;=66," 66&amp;Above")</f>
        <v>Under 18</v>
      </c>
    </row>
    <row r="120" spans="1:16">
      <c r="A120" t="s">
        <v>283</v>
      </c>
      <c r="B120" t="s">
        <v>284</v>
      </c>
      <c r="C120">
        <v>48</v>
      </c>
      <c r="D120" t="s">
        <v>18</v>
      </c>
      <c r="E120" s="2">
        <v>45478</v>
      </c>
      <c r="F120" s="2">
        <v>45486</v>
      </c>
      <c r="G120" t="s">
        <v>60</v>
      </c>
      <c r="H120" t="s">
        <v>97</v>
      </c>
      <c r="I120" s="3">
        <v>13136.54</v>
      </c>
      <c r="J120" t="s">
        <v>20</v>
      </c>
      <c r="K120" s="4">
        <v>1</v>
      </c>
      <c r="L120" s="3">
        <f t="shared" si="4"/>
        <v>13136.54</v>
      </c>
      <c r="M120" s="3">
        <f t="shared" si="5"/>
        <v>0</v>
      </c>
      <c r="N120">
        <f t="shared" si="6"/>
        <v>8</v>
      </c>
      <c r="O120" s="3">
        <f t="shared" si="7"/>
        <v>0</v>
      </c>
      <c r="P120" t="str" cm="1">
        <f t="array" ref="P120">_xlfn.IFS(C120&lt;18, "Under 18", C120&lt;36, "Btw 18&amp;35", C120&lt;51, "Btw 36&amp;50", C120&lt;66, "Btw 51&amp;65", C120&gt;=66," 66&amp;Above")</f>
        <v>Btw 36&amp;50</v>
      </c>
    </row>
    <row r="121" spans="1:16">
      <c r="A121" t="s">
        <v>285</v>
      </c>
      <c r="B121" t="s">
        <v>286</v>
      </c>
      <c r="C121">
        <v>32</v>
      </c>
      <c r="D121" t="s">
        <v>12</v>
      </c>
      <c r="E121" s="2">
        <v>45909</v>
      </c>
      <c r="F121" s="2">
        <v>45915</v>
      </c>
      <c r="G121" t="s">
        <v>60</v>
      </c>
      <c r="H121" t="s">
        <v>77</v>
      </c>
      <c r="I121" s="3">
        <v>10441.879999999999</v>
      </c>
      <c r="J121" t="s">
        <v>20</v>
      </c>
      <c r="K121" s="4">
        <v>0.7</v>
      </c>
      <c r="L121" s="3">
        <f t="shared" si="4"/>
        <v>7309.3159999999989</v>
      </c>
      <c r="M121" s="3">
        <f t="shared" si="5"/>
        <v>3132.5640000000003</v>
      </c>
      <c r="N121">
        <f t="shared" si="6"/>
        <v>6</v>
      </c>
      <c r="O121" s="3">
        <f t="shared" si="7"/>
        <v>0</v>
      </c>
      <c r="P121" t="str" cm="1">
        <f t="array" ref="P121">_xlfn.IFS(C121&lt;18, "Under 18", C121&lt;36, "Btw 18&amp;35", C121&lt;51, "Btw 36&amp;50", C121&lt;66, "Btw 51&amp;65", C121&gt;=66," 66&amp;Above")</f>
        <v>Btw 18&amp;35</v>
      </c>
    </row>
    <row r="122" spans="1:16">
      <c r="A122" t="s">
        <v>287</v>
      </c>
      <c r="B122" t="s">
        <v>288</v>
      </c>
      <c r="C122">
        <v>39</v>
      </c>
      <c r="D122" t="s">
        <v>12</v>
      </c>
      <c r="E122" s="2">
        <v>45529</v>
      </c>
      <c r="F122" s="2">
        <v>45536</v>
      </c>
      <c r="G122" t="s">
        <v>31</v>
      </c>
      <c r="H122" t="s">
        <v>32</v>
      </c>
      <c r="I122" s="3">
        <v>8804.17</v>
      </c>
      <c r="J122" t="s">
        <v>20</v>
      </c>
      <c r="K122" s="4">
        <v>0.7</v>
      </c>
      <c r="L122" s="3">
        <f t="shared" si="4"/>
        <v>6162.9189999999999</v>
      </c>
      <c r="M122" s="3">
        <f t="shared" si="5"/>
        <v>2641.2510000000002</v>
      </c>
      <c r="N122">
        <f t="shared" si="6"/>
        <v>7</v>
      </c>
      <c r="O122" s="3">
        <f t="shared" si="7"/>
        <v>0</v>
      </c>
      <c r="P122" t="str" cm="1">
        <f t="array" ref="P122">_xlfn.IFS(C122&lt;18, "Under 18", C122&lt;36, "Btw 18&amp;35", C122&lt;51, "Btw 36&amp;50", C122&lt;66, "Btw 51&amp;65", C122&gt;=66," 66&amp;Above")</f>
        <v>Btw 36&amp;50</v>
      </c>
    </row>
    <row r="123" spans="1:16">
      <c r="A123" t="s">
        <v>289</v>
      </c>
      <c r="B123" t="s">
        <v>290</v>
      </c>
      <c r="C123">
        <v>14</v>
      </c>
      <c r="D123" t="s">
        <v>12</v>
      </c>
      <c r="E123" s="2">
        <v>45433</v>
      </c>
      <c r="F123" s="2">
        <v>45438</v>
      </c>
      <c r="G123" t="s">
        <v>49</v>
      </c>
      <c r="H123" t="s">
        <v>130</v>
      </c>
      <c r="I123" s="3">
        <v>8692.2099999999991</v>
      </c>
      <c r="J123" t="s">
        <v>20</v>
      </c>
      <c r="K123" s="4">
        <v>0.8</v>
      </c>
      <c r="L123" s="3">
        <f t="shared" si="4"/>
        <v>6953.768</v>
      </c>
      <c r="M123" s="3">
        <f t="shared" si="5"/>
        <v>1738.4419999999996</v>
      </c>
      <c r="N123">
        <f t="shared" si="6"/>
        <v>5</v>
      </c>
      <c r="O123" s="3">
        <f t="shared" si="7"/>
        <v>0</v>
      </c>
      <c r="P123" t="str" cm="1">
        <f t="array" ref="P123">_xlfn.IFS(C123&lt;18, "Under 18", C123&lt;36, "Btw 18&amp;35", C123&lt;51, "Btw 36&amp;50", C123&lt;66, "Btw 51&amp;65", C123&gt;=66," 66&amp;Above")</f>
        <v>Under 18</v>
      </c>
    </row>
    <row r="124" spans="1:16">
      <c r="A124" t="s">
        <v>291</v>
      </c>
      <c r="B124" t="s">
        <v>292</v>
      </c>
      <c r="C124">
        <v>77</v>
      </c>
      <c r="D124" t="s">
        <v>12</v>
      </c>
      <c r="E124" s="2">
        <v>45601</v>
      </c>
      <c r="F124" s="2">
        <v>45606</v>
      </c>
      <c r="G124" t="s">
        <v>13</v>
      </c>
      <c r="H124" t="s">
        <v>14</v>
      </c>
      <c r="I124" s="3">
        <v>8942.35</v>
      </c>
      <c r="J124" t="s">
        <v>15</v>
      </c>
      <c r="K124" s="4">
        <v>0</v>
      </c>
      <c r="L124" s="3">
        <f t="shared" si="4"/>
        <v>0</v>
      </c>
      <c r="M124" s="3">
        <f t="shared" si="5"/>
        <v>8942.35</v>
      </c>
      <c r="N124">
        <f t="shared" si="6"/>
        <v>5</v>
      </c>
      <c r="O124" s="3">
        <f t="shared" si="7"/>
        <v>8942.35</v>
      </c>
      <c r="P124" t="str" cm="1">
        <f t="array" ref="P124">_xlfn.IFS(C124&lt;18, "Under 18", C124&lt;36, "Btw 18&amp;35", C124&lt;51, "Btw 36&amp;50", C124&lt;66, "Btw 51&amp;65", C124&gt;=66," 66&amp;Above")</f>
        <v xml:space="preserve"> 66&amp;Above</v>
      </c>
    </row>
    <row r="125" spans="1:16">
      <c r="A125" t="s">
        <v>293</v>
      </c>
      <c r="B125" t="s">
        <v>294</v>
      </c>
      <c r="C125">
        <v>59</v>
      </c>
      <c r="D125" t="s">
        <v>12</v>
      </c>
      <c r="E125" s="2">
        <v>45786</v>
      </c>
      <c r="F125" s="2">
        <v>45796</v>
      </c>
      <c r="G125" t="s">
        <v>70</v>
      </c>
      <c r="H125" t="s">
        <v>295</v>
      </c>
      <c r="I125" s="3">
        <v>17584.490000000002</v>
      </c>
      <c r="J125" t="s">
        <v>25</v>
      </c>
      <c r="K125" s="4">
        <v>1</v>
      </c>
      <c r="L125" s="3">
        <f t="shared" si="4"/>
        <v>17584.490000000002</v>
      </c>
      <c r="M125" s="3">
        <f t="shared" si="5"/>
        <v>0</v>
      </c>
      <c r="N125">
        <f t="shared" si="6"/>
        <v>10</v>
      </c>
      <c r="O125" s="3">
        <f t="shared" si="7"/>
        <v>0</v>
      </c>
      <c r="P125" t="str" cm="1">
        <f t="array" ref="P125">_xlfn.IFS(C125&lt;18, "Under 18", C125&lt;36, "Btw 18&amp;35", C125&lt;51, "Btw 36&amp;50", C125&lt;66, "Btw 51&amp;65", C125&gt;=66," 66&amp;Above")</f>
        <v>Btw 51&amp;65</v>
      </c>
    </row>
    <row r="126" spans="1:16">
      <c r="A126" t="s">
        <v>296</v>
      </c>
      <c r="B126" t="s">
        <v>206</v>
      </c>
      <c r="C126">
        <v>84</v>
      </c>
      <c r="D126" t="s">
        <v>18</v>
      </c>
      <c r="E126" s="2">
        <v>45399</v>
      </c>
      <c r="F126" s="2">
        <v>45400</v>
      </c>
      <c r="G126" t="s">
        <v>23</v>
      </c>
      <c r="H126" t="s">
        <v>204</v>
      </c>
      <c r="I126" s="3">
        <v>1921.25</v>
      </c>
      <c r="J126" t="s">
        <v>25</v>
      </c>
      <c r="K126" s="4">
        <v>0.5</v>
      </c>
      <c r="L126" s="3">
        <f t="shared" si="4"/>
        <v>960.625</v>
      </c>
      <c r="M126" s="3">
        <f t="shared" si="5"/>
        <v>960.625</v>
      </c>
      <c r="N126">
        <f t="shared" si="6"/>
        <v>1</v>
      </c>
      <c r="O126" s="3">
        <f t="shared" si="7"/>
        <v>0</v>
      </c>
      <c r="P126" t="str" cm="1">
        <f t="array" ref="P126">_xlfn.IFS(C126&lt;18, "Under 18", C126&lt;36, "Btw 18&amp;35", C126&lt;51, "Btw 36&amp;50", C126&lt;66, "Btw 51&amp;65", C126&gt;=66," 66&amp;Above")</f>
        <v xml:space="preserve"> 66&amp;Above</v>
      </c>
    </row>
    <row r="127" spans="1:16">
      <c r="A127" t="s">
        <v>297</v>
      </c>
      <c r="B127" t="s">
        <v>298</v>
      </c>
      <c r="C127">
        <v>41</v>
      </c>
      <c r="D127" t="s">
        <v>18</v>
      </c>
      <c r="E127" s="2">
        <v>45515</v>
      </c>
      <c r="F127" s="2">
        <v>45518</v>
      </c>
      <c r="G127" t="s">
        <v>70</v>
      </c>
      <c r="H127" t="s">
        <v>295</v>
      </c>
      <c r="I127" s="3">
        <v>6966.69</v>
      </c>
      <c r="J127" t="s">
        <v>20</v>
      </c>
      <c r="K127" s="4">
        <v>0.7</v>
      </c>
      <c r="L127" s="3">
        <f t="shared" si="4"/>
        <v>4876.6829999999991</v>
      </c>
      <c r="M127" s="3">
        <f t="shared" si="5"/>
        <v>2090.0070000000001</v>
      </c>
      <c r="N127">
        <f t="shared" si="6"/>
        <v>3</v>
      </c>
      <c r="O127" s="3">
        <f t="shared" si="7"/>
        <v>0</v>
      </c>
      <c r="P127" t="str" cm="1">
        <f t="array" ref="P127">_xlfn.IFS(C127&lt;18, "Under 18", C127&lt;36, "Btw 18&amp;35", C127&lt;51, "Btw 36&amp;50", C127&lt;66, "Btw 51&amp;65", C127&gt;=66," 66&amp;Above")</f>
        <v>Btw 36&amp;50</v>
      </c>
    </row>
    <row r="128" spans="1:16">
      <c r="A128" t="s">
        <v>299</v>
      </c>
      <c r="B128" t="s">
        <v>300</v>
      </c>
      <c r="C128">
        <v>4</v>
      </c>
      <c r="D128" t="s">
        <v>18</v>
      </c>
      <c r="E128" s="2">
        <v>45390</v>
      </c>
      <c r="F128" s="2">
        <v>45394</v>
      </c>
      <c r="G128" t="s">
        <v>49</v>
      </c>
      <c r="H128" t="s">
        <v>130</v>
      </c>
      <c r="I128" s="3">
        <v>5715.35</v>
      </c>
      <c r="J128" t="s">
        <v>15</v>
      </c>
      <c r="K128" s="4">
        <v>0.7</v>
      </c>
      <c r="L128" s="3">
        <f t="shared" si="4"/>
        <v>4000.7449999999999</v>
      </c>
      <c r="M128" s="3">
        <f t="shared" si="5"/>
        <v>1714.6050000000005</v>
      </c>
      <c r="N128">
        <f t="shared" si="6"/>
        <v>4</v>
      </c>
      <c r="O128" s="3">
        <f t="shared" si="7"/>
        <v>5715.35</v>
      </c>
      <c r="P128" t="str" cm="1">
        <f t="array" ref="P128">_xlfn.IFS(C128&lt;18, "Under 18", C128&lt;36, "Btw 18&amp;35", C128&lt;51, "Btw 36&amp;50", C128&lt;66, "Btw 51&amp;65", C128&gt;=66," 66&amp;Above")</f>
        <v>Under 18</v>
      </c>
    </row>
    <row r="129" spans="1:16">
      <c r="A129" t="s">
        <v>301</v>
      </c>
      <c r="B129" t="s">
        <v>302</v>
      </c>
      <c r="C129">
        <v>48</v>
      </c>
      <c r="D129" t="s">
        <v>18</v>
      </c>
      <c r="E129" s="2">
        <v>45936</v>
      </c>
      <c r="F129" s="2">
        <v>45939</v>
      </c>
      <c r="G129" t="s">
        <v>23</v>
      </c>
      <c r="H129" t="s">
        <v>204</v>
      </c>
      <c r="I129" s="3">
        <v>4210.91</v>
      </c>
      <c r="J129" t="s">
        <v>15</v>
      </c>
      <c r="K129" s="4">
        <v>0.9</v>
      </c>
      <c r="L129" s="3">
        <f t="shared" si="4"/>
        <v>3789.819</v>
      </c>
      <c r="M129" s="3">
        <f t="shared" si="5"/>
        <v>421.09099999999989</v>
      </c>
      <c r="N129">
        <f t="shared" si="6"/>
        <v>3</v>
      </c>
      <c r="O129" s="3">
        <f t="shared" si="7"/>
        <v>4210.91</v>
      </c>
      <c r="P129" t="str" cm="1">
        <f t="array" ref="P129">_xlfn.IFS(C129&lt;18, "Under 18", C129&lt;36, "Btw 18&amp;35", C129&lt;51, "Btw 36&amp;50", C129&lt;66, "Btw 51&amp;65", C129&gt;=66," 66&amp;Above")</f>
        <v>Btw 36&amp;50</v>
      </c>
    </row>
    <row r="130" spans="1:16">
      <c r="A130" t="s">
        <v>303</v>
      </c>
      <c r="B130" t="s">
        <v>304</v>
      </c>
      <c r="C130">
        <v>62</v>
      </c>
      <c r="D130" t="s">
        <v>18</v>
      </c>
      <c r="E130" s="2">
        <v>45353</v>
      </c>
      <c r="F130" s="2">
        <v>45360</v>
      </c>
      <c r="G130" t="s">
        <v>13</v>
      </c>
      <c r="H130" t="s">
        <v>19</v>
      </c>
      <c r="I130" s="3">
        <v>11082.93</v>
      </c>
      <c r="J130" t="s">
        <v>20</v>
      </c>
      <c r="K130" s="4">
        <v>0.5</v>
      </c>
      <c r="L130" s="3">
        <f t="shared" si="4"/>
        <v>5541.4650000000001</v>
      </c>
      <c r="M130" s="3">
        <f t="shared" si="5"/>
        <v>5541.4650000000001</v>
      </c>
      <c r="N130">
        <f t="shared" si="6"/>
        <v>7</v>
      </c>
      <c r="O130" s="3">
        <f t="shared" si="7"/>
        <v>0</v>
      </c>
      <c r="P130" t="str" cm="1">
        <f t="array" ref="P130">_xlfn.IFS(C130&lt;18, "Under 18", C130&lt;36, "Btw 18&amp;35", C130&lt;51, "Btw 36&amp;50", C130&lt;66, "Btw 51&amp;65", C130&gt;=66," 66&amp;Above")</f>
        <v>Btw 51&amp;65</v>
      </c>
    </row>
    <row r="131" spans="1:16">
      <c r="A131" t="s">
        <v>305</v>
      </c>
      <c r="B131" t="s">
        <v>306</v>
      </c>
      <c r="C131">
        <v>31</v>
      </c>
      <c r="D131" t="s">
        <v>18</v>
      </c>
      <c r="E131" s="2">
        <v>45625</v>
      </c>
      <c r="F131" s="2">
        <v>45630</v>
      </c>
      <c r="G131" t="s">
        <v>31</v>
      </c>
      <c r="H131" t="s">
        <v>53</v>
      </c>
      <c r="I131" s="3">
        <v>6234.49</v>
      </c>
      <c r="J131" t="s">
        <v>20</v>
      </c>
      <c r="K131" s="4">
        <v>1</v>
      </c>
      <c r="L131" s="3">
        <f t="shared" ref="L131:L194" si="8">I131*K131</f>
        <v>6234.49</v>
      </c>
      <c r="M131" s="3">
        <f t="shared" ref="M131:M194" si="9">(100%-K131)*I131</f>
        <v>0</v>
      </c>
      <c r="N131">
        <f t="shared" ref="N131:N194" si="10">_xlfn.DAYS(F131,E131)</f>
        <v>5</v>
      </c>
      <c r="O131" s="3">
        <f t="shared" ref="O131:O194" si="11">IF(J131="Paid", I131, 0)</f>
        <v>0</v>
      </c>
      <c r="P131" t="str" cm="1">
        <f t="array" ref="P131">_xlfn.IFS(C131&lt;18, "Under 18", C131&lt;36, "Btw 18&amp;35", C131&lt;51, "Btw 36&amp;50", C131&lt;66, "Btw 51&amp;65", C131&gt;=66," 66&amp;Above")</f>
        <v>Btw 18&amp;35</v>
      </c>
    </row>
    <row r="132" spans="1:16">
      <c r="A132" t="s">
        <v>307</v>
      </c>
      <c r="B132" t="s">
        <v>308</v>
      </c>
      <c r="C132">
        <v>65</v>
      </c>
      <c r="D132" t="s">
        <v>18</v>
      </c>
      <c r="E132" s="2">
        <v>45793</v>
      </c>
      <c r="F132" s="2">
        <v>45803</v>
      </c>
      <c r="G132" t="s">
        <v>70</v>
      </c>
      <c r="H132" t="s">
        <v>295</v>
      </c>
      <c r="I132" s="3">
        <v>17644.05</v>
      </c>
      <c r="J132" t="s">
        <v>15</v>
      </c>
      <c r="K132" s="4">
        <v>0.6</v>
      </c>
      <c r="L132" s="3">
        <f t="shared" si="8"/>
        <v>10586.429999999998</v>
      </c>
      <c r="M132" s="3">
        <f t="shared" si="9"/>
        <v>7057.62</v>
      </c>
      <c r="N132">
        <f t="shared" si="10"/>
        <v>10</v>
      </c>
      <c r="O132" s="3">
        <f t="shared" si="11"/>
        <v>17644.05</v>
      </c>
      <c r="P132" t="str" cm="1">
        <f t="array" ref="P132">_xlfn.IFS(C132&lt;18, "Under 18", C132&lt;36, "Btw 18&amp;35", C132&lt;51, "Btw 36&amp;50", C132&lt;66, "Btw 51&amp;65", C132&gt;=66," 66&amp;Above")</f>
        <v>Btw 51&amp;65</v>
      </c>
    </row>
    <row r="133" spans="1:16">
      <c r="A133" t="s">
        <v>309</v>
      </c>
      <c r="B133" t="s">
        <v>310</v>
      </c>
      <c r="C133">
        <v>80</v>
      </c>
      <c r="D133" t="s">
        <v>12</v>
      </c>
      <c r="E133" s="2">
        <v>45587</v>
      </c>
      <c r="F133" s="2">
        <v>45596</v>
      </c>
      <c r="G133" t="s">
        <v>70</v>
      </c>
      <c r="H133" t="s">
        <v>71</v>
      </c>
      <c r="I133" s="3">
        <v>11838.97</v>
      </c>
      <c r="J133" t="s">
        <v>25</v>
      </c>
      <c r="K133" s="4">
        <v>0.7</v>
      </c>
      <c r="L133" s="3">
        <f t="shared" si="8"/>
        <v>8287.2789999999986</v>
      </c>
      <c r="M133" s="3">
        <f t="shared" si="9"/>
        <v>3551.6910000000003</v>
      </c>
      <c r="N133">
        <f t="shared" si="10"/>
        <v>9</v>
      </c>
      <c r="O133" s="3">
        <f t="shared" si="11"/>
        <v>0</v>
      </c>
      <c r="P133" t="str" cm="1">
        <f t="array" ref="P133">_xlfn.IFS(C133&lt;18, "Under 18", C133&lt;36, "Btw 18&amp;35", C133&lt;51, "Btw 36&amp;50", C133&lt;66, "Btw 51&amp;65", C133&gt;=66," 66&amp;Above")</f>
        <v xml:space="preserve"> 66&amp;Above</v>
      </c>
    </row>
    <row r="134" spans="1:16">
      <c r="A134" t="s">
        <v>311</v>
      </c>
      <c r="B134" t="s">
        <v>312</v>
      </c>
      <c r="C134">
        <v>9</v>
      </c>
      <c r="D134" t="s">
        <v>12</v>
      </c>
      <c r="E134" s="2">
        <v>45589</v>
      </c>
      <c r="F134" s="2">
        <v>45592</v>
      </c>
      <c r="G134" t="s">
        <v>49</v>
      </c>
      <c r="H134" t="s">
        <v>123</v>
      </c>
      <c r="I134" s="3">
        <v>2139.13</v>
      </c>
      <c r="J134" t="s">
        <v>25</v>
      </c>
      <c r="K134" s="4">
        <v>0.9</v>
      </c>
      <c r="L134" s="3">
        <f t="shared" si="8"/>
        <v>1925.2170000000001</v>
      </c>
      <c r="M134" s="3">
        <f t="shared" si="9"/>
        <v>213.91299999999995</v>
      </c>
      <c r="N134">
        <f t="shared" si="10"/>
        <v>3</v>
      </c>
      <c r="O134" s="3">
        <f t="shared" si="11"/>
        <v>0</v>
      </c>
      <c r="P134" t="str" cm="1">
        <f t="array" ref="P134">_xlfn.IFS(C134&lt;18, "Under 18", C134&lt;36, "Btw 18&amp;35", C134&lt;51, "Btw 36&amp;50", C134&lt;66, "Btw 51&amp;65", C134&gt;=66," 66&amp;Above")</f>
        <v>Under 18</v>
      </c>
    </row>
    <row r="135" spans="1:16">
      <c r="A135" t="s">
        <v>313</v>
      </c>
      <c r="B135" t="s">
        <v>314</v>
      </c>
      <c r="C135">
        <v>48</v>
      </c>
      <c r="D135" t="s">
        <v>18</v>
      </c>
      <c r="E135" s="2">
        <v>45436</v>
      </c>
      <c r="F135" s="2">
        <v>45443</v>
      </c>
      <c r="G135" t="s">
        <v>13</v>
      </c>
      <c r="H135" t="s">
        <v>38</v>
      </c>
      <c r="I135" s="3">
        <v>10657.18</v>
      </c>
      <c r="J135" t="s">
        <v>15</v>
      </c>
      <c r="K135" s="4">
        <v>1</v>
      </c>
      <c r="L135" s="3">
        <f t="shared" si="8"/>
        <v>10657.18</v>
      </c>
      <c r="M135" s="3">
        <f t="shared" si="9"/>
        <v>0</v>
      </c>
      <c r="N135">
        <f t="shared" si="10"/>
        <v>7</v>
      </c>
      <c r="O135" s="3">
        <f t="shared" si="11"/>
        <v>10657.18</v>
      </c>
      <c r="P135" t="str" cm="1">
        <f t="array" ref="P135">_xlfn.IFS(C135&lt;18, "Under 18", C135&lt;36, "Btw 18&amp;35", C135&lt;51, "Btw 36&amp;50", C135&lt;66, "Btw 51&amp;65", C135&gt;=66," 66&amp;Above")</f>
        <v>Btw 36&amp;50</v>
      </c>
    </row>
    <row r="136" spans="1:16">
      <c r="A136" t="s">
        <v>315</v>
      </c>
      <c r="B136" t="s">
        <v>316</v>
      </c>
      <c r="C136">
        <v>83</v>
      </c>
      <c r="D136" t="s">
        <v>18</v>
      </c>
      <c r="E136" s="2">
        <v>45899</v>
      </c>
      <c r="F136" s="2">
        <v>45905</v>
      </c>
      <c r="G136" t="s">
        <v>13</v>
      </c>
      <c r="H136" t="s">
        <v>165</v>
      </c>
      <c r="I136" s="3">
        <v>17707.36</v>
      </c>
      <c r="J136" t="s">
        <v>15</v>
      </c>
      <c r="K136" s="4">
        <v>0.9</v>
      </c>
      <c r="L136" s="3">
        <f t="shared" si="8"/>
        <v>15936.624000000002</v>
      </c>
      <c r="M136" s="3">
        <f t="shared" si="9"/>
        <v>1770.7359999999996</v>
      </c>
      <c r="N136">
        <f t="shared" si="10"/>
        <v>6</v>
      </c>
      <c r="O136" s="3">
        <f t="shared" si="11"/>
        <v>17707.36</v>
      </c>
      <c r="P136" t="str" cm="1">
        <f t="array" ref="P136">_xlfn.IFS(C136&lt;18, "Under 18", C136&lt;36, "Btw 18&amp;35", C136&lt;51, "Btw 36&amp;50", C136&lt;66, "Btw 51&amp;65", C136&gt;=66," 66&amp;Above")</f>
        <v xml:space="preserve"> 66&amp;Above</v>
      </c>
    </row>
    <row r="137" spans="1:16">
      <c r="A137" t="s">
        <v>317</v>
      </c>
      <c r="B137" t="s">
        <v>318</v>
      </c>
      <c r="C137">
        <v>57</v>
      </c>
      <c r="D137" t="s">
        <v>12</v>
      </c>
      <c r="E137" s="2">
        <v>45619</v>
      </c>
      <c r="F137" s="2">
        <v>45632</v>
      </c>
      <c r="G137" t="s">
        <v>60</v>
      </c>
      <c r="H137" t="s">
        <v>97</v>
      </c>
      <c r="I137" s="3">
        <v>31874.83</v>
      </c>
      <c r="J137" t="s">
        <v>20</v>
      </c>
      <c r="K137" s="4">
        <v>0.9</v>
      </c>
      <c r="L137" s="3">
        <f t="shared" si="8"/>
        <v>28687.347000000002</v>
      </c>
      <c r="M137" s="3">
        <f t="shared" si="9"/>
        <v>3187.4829999999993</v>
      </c>
      <c r="N137">
        <f t="shared" si="10"/>
        <v>13</v>
      </c>
      <c r="O137" s="3">
        <f t="shared" si="11"/>
        <v>0</v>
      </c>
      <c r="P137" t="str" cm="1">
        <f t="array" ref="P137">_xlfn.IFS(C137&lt;18, "Under 18", C137&lt;36, "Btw 18&amp;35", C137&lt;51, "Btw 36&amp;50", C137&lt;66, "Btw 51&amp;65", C137&gt;=66," 66&amp;Above")</f>
        <v>Btw 51&amp;65</v>
      </c>
    </row>
    <row r="138" spans="1:16">
      <c r="A138" t="s">
        <v>319</v>
      </c>
      <c r="B138" t="s">
        <v>320</v>
      </c>
      <c r="C138">
        <v>50</v>
      </c>
      <c r="D138" t="s">
        <v>18</v>
      </c>
      <c r="E138" s="2">
        <v>45458</v>
      </c>
      <c r="F138" s="2">
        <v>45464</v>
      </c>
      <c r="G138" t="s">
        <v>31</v>
      </c>
      <c r="H138" t="s">
        <v>53</v>
      </c>
      <c r="I138" s="3">
        <v>5681.44</v>
      </c>
      <c r="J138" t="s">
        <v>15</v>
      </c>
      <c r="K138" s="4">
        <v>0.7</v>
      </c>
      <c r="L138" s="3">
        <f t="shared" si="8"/>
        <v>3977.0079999999994</v>
      </c>
      <c r="M138" s="3">
        <f t="shared" si="9"/>
        <v>1704.4320000000002</v>
      </c>
      <c r="N138">
        <f t="shared" si="10"/>
        <v>6</v>
      </c>
      <c r="O138" s="3">
        <f t="shared" si="11"/>
        <v>5681.44</v>
      </c>
      <c r="P138" t="str" cm="1">
        <f t="array" ref="P138">_xlfn.IFS(C138&lt;18, "Under 18", C138&lt;36, "Btw 18&amp;35", C138&lt;51, "Btw 36&amp;50", C138&lt;66, "Btw 51&amp;65", C138&gt;=66," 66&amp;Above")</f>
        <v>Btw 36&amp;50</v>
      </c>
    </row>
    <row r="139" spans="1:16">
      <c r="A139" t="s">
        <v>321</v>
      </c>
      <c r="B139" t="s">
        <v>322</v>
      </c>
      <c r="C139">
        <v>58</v>
      </c>
      <c r="D139" t="s">
        <v>18</v>
      </c>
      <c r="E139" s="2">
        <v>45841</v>
      </c>
      <c r="F139" s="2">
        <v>45848</v>
      </c>
      <c r="G139" t="s">
        <v>13</v>
      </c>
      <c r="H139" t="s">
        <v>14</v>
      </c>
      <c r="I139" s="3">
        <v>17588.68</v>
      </c>
      <c r="J139" t="s">
        <v>15</v>
      </c>
      <c r="K139" s="4">
        <v>0.9</v>
      </c>
      <c r="L139" s="3">
        <f t="shared" si="8"/>
        <v>15829.812</v>
      </c>
      <c r="M139" s="3">
        <f t="shared" si="9"/>
        <v>1758.8679999999997</v>
      </c>
      <c r="N139">
        <f t="shared" si="10"/>
        <v>7</v>
      </c>
      <c r="O139" s="3">
        <f t="shared" si="11"/>
        <v>17588.68</v>
      </c>
      <c r="P139" t="str" cm="1">
        <f t="array" ref="P139">_xlfn.IFS(C139&lt;18, "Under 18", C139&lt;36, "Btw 18&amp;35", C139&lt;51, "Btw 36&amp;50", C139&lt;66, "Btw 51&amp;65", C139&gt;=66," 66&amp;Above")</f>
        <v>Btw 51&amp;65</v>
      </c>
    </row>
    <row r="140" spans="1:16">
      <c r="A140" t="s">
        <v>323</v>
      </c>
      <c r="B140" t="s">
        <v>324</v>
      </c>
      <c r="C140">
        <v>58</v>
      </c>
      <c r="D140" t="s">
        <v>12</v>
      </c>
      <c r="E140" s="2">
        <v>45749</v>
      </c>
      <c r="F140" s="2">
        <v>45751</v>
      </c>
      <c r="G140" t="s">
        <v>31</v>
      </c>
      <c r="H140" t="s">
        <v>234</v>
      </c>
      <c r="I140" s="3">
        <v>1113.6199999999999</v>
      </c>
      <c r="J140" t="s">
        <v>15</v>
      </c>
      <c r="K140" s="4">
        <v>0.8</v>
      </c>
      <c r="L140" s="3">
        <f t="shared" si="8"/>
        <v>890.89599999999996</v>
      </c>
      <c r="M140" s="3">
        <f t="shared" si="9"/>
        <v>222.72399999999993</v>
      </c>
      <c r="N140">
        <f t="shared" si="10"/>
        <v>2</v>
      </c>
      <c r="O140" s="3">
        <f t="shared" si="11"/>
        <v>1113.6199999999999</v>
      </c>
      <c r="P140" t="str" cm="1">
        <f t="array" ref="P140">_xlfn.IFS(C140&lt;18, "Under 18", C140&lt;36, "Btw 18&amp;35", C140&lt;51, "Btw 36&amp;50", C140&lt;66, "Btw 51&amp;65", C140&gt;=66," 66&amp;Above")</f>
        <v>Btw 51&amp;65</v>
      </c>
    </row>
    <row r="141" spans="1:16">
      <c r="A141" t="s">
        <v>325</v>
      </c>
      <c r="B141" t="s">
        <v>326</v>
      </c>
      <c r="C141">
        <v>60</v>
      </c>
      <c r="D141" t="s">
        <v>12</v>
      </c>
      <c r="E141" s="2">
        <v>45465</v>
      </c>
      <c r="F141" s="2">
        <v>45470</v>
      </c>
      <c r="G141" t="s">
        <v>31</v>
      </c>
      <c r="H141" t="s">
        <v>234</v>
      </c>
      <c r="I141" s="3">
        <v>3222.62</v>
      </c>
      <c r="J141" t="s">
        <v>20</v>
      </c>
      <c r="K141" s="4">
        <v>0.9</v>
      </c>
      <c r="L141" s="3">
        <f t="shared" si="8"/>
        <v>2900.3580000000002</v>
      </c>
      <c r="M141" s="3">
        <f t="shared" si="9"/>
        <v>322.26199999999994</v>
      </c>
      <c r="N141">
        <f t="shared" si="10"/>
        <v>5</v>
      </c>
      <c r="O141" s="3">
        <f t="shared" si="11"/>
        <v>0</v>
      </c>
      <c r="P141" t="str" cm="1">
        <f t="array" ref="P141">_xlfn.IFS(C141&lt;18, "Under 18", C141&lt;36, "Btw 18&amp;35", C141&lt;51, "Btw 36&amp;50", C141&lt;66, "Btw 51&amp;65", C141&gt;=66," 66&amp;Above")</f>
        <v>Btw 51&amp;65</v>
      </c>
    </row>
    <row r="142" spans="1:16">
      <c r="A142" t="s">
        <v>327</v>
      </c>
      <c r="B142" t="s">
        <v>328</v>
      </c>
      <c r="C142">
        <v>53</v>
      </c>
      <c r="D142" t="s">
        <v>18</v>
      </c>
      <c r="E142" s="2">
        <v>45481</v>
      </c>
      <c r="F142" s="2">
        <v>45486</v>
      </c>
      <c r="G142" t="s">
        <v>31</v>
      </c>
      <c r="H142" t="s">
        <v>32</v>
      </c>
      <c r="I142" s="3">
        <v>4276.67</v>
      </c>
      <c r="J142" t="s">
        <v>15</v>
      </c>
      <c r="K142" s="4">
        <v>0.5</v>
      </c>
      <c r="L142" s="3">
        <f t="shared" si="8"/>
        <v>2138.335</v>
      </c>
      <c r="M142" s="3">
        <f t="shared" si="9"/>
        <v>2138.335</v>
      </c>
      <c r="N142">
        <f t="shared" si="10"/>
        <v>5</v>
      </c>
      <c r="O142" s="3">
        <f t="shared" si="11"/>
        <v>4276.67</v>
      </c>
      <c r="P142" t="str" cm="1">
        <f t="array" ref="P142">_xlfn.IFS(C142&lt;18, "Under 18", C142&lt;36, "Btw 18&amp;35", C142&lt;51, "Btw 36&amp;50", C142&lt;66, "Btw 51&amp;65", C142&gt;=66," 66&amp;Above")</f>
        <v>Btw 51&amp;65</v>
      </c>
    </row>
    <row r="143" spans="1:16">
      <c r="A143" t="s">
        <v>329</v>
      </c>
      <c r="B143" t="s">
        <v>330</v>
      </c>
      <c r="C143">
        <v>37</v>
      </c>
      <c r="D143" t="s">
        <v>18</v>
      </c>
      <c r="E143" s="2">
        <v>45754</v>
      </c>
      <c r="F143" s="2">
        <v>45758</v>
      </c>
      <c r="G143" t="s">
        <v>31</v>
      </c>
      <c r="H143" t="s">
        <v>53</v>
      </c>
      <c r="I143" s="3">
        <v>2378.61</v>
      </c>
      <c r="J143" t="s">
        <v>15</v>
      </c>
      <c r="K143" s="4">
        <v>0.7</v>
      </c>
      <c r="L143" s="3">
        <f t="shared" si="8"/>
        <v>1665.027</v>
      </c>
      <c r="M143" s="3">
        <f t="shared" si="9"/>
        <v>713.5830000000002</v>
      </c>
      <c r="N143">
        <f t="shared" si="10"/>
        <v>4</v>
      </c>
      <c r="O143" s="3">
        <f t="shared" si="11"/>
        <v>2378.61</v>
      </c>
      <c r="P143" t="str" cm="1">
        <f t="array" ref="P143">_xlfn.IFS(C143&lt;18, "Under 18", C143&lt;36, "Btw 18&amp;35", C143&lt;51, "Btw 36&amp;50", C143&lt;66, "Btw 51&amp;65", C143&gt;=66," 66&amp;Above")</f>
        <v>Btw 36&amp;50</v>
      </c>
    </row>
    <row r="144" spans="1:16">
      <c r="A144" t="s">
        <v>331</v>
      </c>
      <c r="B144" t="s">
        <v>332</v>
      </c>
      <c r="C144">
        <v>52</v>
      </c>
      <c r="D144" t="s">
        <v>12</v>
      </c>
      <c r="E144" s="2">
        <v>45295</v>
      </c>
      <c r="F144" s="2">
        <v>45296</v>
      </c>
      <c r="G144" t="s">
        <v>23</v>
      </c>
      <c r="H144" t="s">
        <v>333</v>
      </c>
      <c r="I144" s="3">
        <v>1802.47</v>
      </c>
      <c r="J144" t="s">
        <v>25</v>
      </c>
      <c r="K144" s="4">
        <v>0.7</v>
      </c>
      <c r="L144" s="3">
        <f t="shared" si="8"/>
        <v>1261.729</v>
      </c>
      <c r="M144" s="3">
        <f t="shared" si="9"/>
        <v>540.7410000000001</v>
      </c>
      <c r="N144">
        <f t="shared" si="10"/>
        <v>1</v>
      </c>
      <c r="O144" s="3">
        <f t="shared" si="11"/>
        <v>0</v>
      </c>
      <c r="P144" t="str" cm="1">
        <f t="array" ref="P144">_xlfn.IFS(C144&lt;18, "Under 18", C144&lt;36, "Btw 18&amp;35", C144&lt;51, "Btw 36&amp;50", C144&lt;66, "Btw 51&amp;65", C144&gt;=66," 66&amp;Above")</f>
        <v>Btw 51&amp;65</v>
      </c>
    </row>
    <row r="145" spans="1:16">
      <c r="A145" t="s">
        <v>334</v>
      </c>
      <c r="B145" t="s">
        <v>335</v>
      </c>
      <c r="C145">
        <v>64</v>
      </c>
      <c r="D145" t="s">
        <v>18</v>
      </c>
      <c r="E145" s="2">
        <v>45414</v>
      </c>
      <c r="F145" s="2">
        <v>45423</v>
      </c>
      <c r="G145" t="s">
        <v>13</v>
      </c>
      <c r="H145" t="s">
        <v>165</v>
      </c>
      <c r="I145" s="3">
        <v>26472.01</v>
      </c>
      <c r="J145" t="s">
        <v>25</v>
      </c>
      <c r="K145" s="4">
        <v>0.6</v>
      </c>
      <c r="L145" s="3">
        <f t="shared" si="8"/>
        <v>15883.205999999998</v>
      </c>
      <c r="M145" s="3">
        <f t="shared" si="9"/>
        <v>10588.804</v>
      </c>
      <c r="N145">
        <f t="shared" si="10"/>
        <v>9</v>
      </c>
      <c r="O145" s="3">
        <f t="shared" si="11"/>
        <v>0</v>
      </c>
      <c r="P145" t="str" cm="1">
        <f t="array" ref="P145">_xlfn.IFS(C145&lt;18, "Under 18", C145&lt;36, "Btw 18&amp;35", C145&lt;51, "Btw 36&amp;50", C145&lt;66, "Btw 51&amp;65", C145&gt;=66," 66&amp;Above")</f>
        <v>Btw 51&amp;65</v>
      </c>
    </row>
    <row r="146" spans="1:16">
      <c r="A146" t="s">
        <v>336</v>
      </c>
      <c r="B146" t="s">
        <v>337</v>
      </c>
      <c r="C146">
        <v>31</v>
      </c>
      <c r="D146" t="s">
        <v>12</v>
      </c>
      <c r="E146" s="2">
        <v>45861</v>
      </c>
      <c r="F146" s="2">
        <v>45870</v>
      </c>
      <c r="G146" t="s">
        <v>70</v>
      </c>
      <c r="H146" t="s">
        <v>295</v>
      </c>
      <c r="I146" s="3">
        <v>15209.42</v>
      </c>
      <c r="J146" t="s">
        <v>20</v>
      </c>
      <c r="K146" s="4">
        <v>0.8</v>
      </c>
      <c r="L146" s="3">
        <f t="shared" si="8"/>
        <v>12167.536</v>
      </c>
      <c r="M146" s="3">
        <f t="shared" si="9"/>
        <v>3041.8839999999996</v>
      </c>
      <c r="N146">
        <f t="shared" si="10"/>
        <v>9</v>
      </c>
      <c r="O146" s="3">
        <f t="shared" si="11"/>
        <v>0</v>
      </c>
      <c r="P146" t="str" cm="1">
        <f t="array" ref="P146">_xlfn.IFS(C146&lt;18, "Under 18", C146&lt;36, "Btw 18&amp;35", C146&lt;51, "Btw 36&amp;50", C146&lt;66, "Btw 51&amp;65", C146&gt;=66," 66&amp;Above")</f>
        <v>Btw 18&amp;35</v>
      </c>
    </row>
    <row r="147" spans="1:16">
      <c r="A147" t="s">
        <v>338</v>
      </c>
      <c r="B147" t="s">
        <v>22</v>
      </c>
      <c r="C147">
        <v>54</v>
      </c>
      <c r="D147" t="s">
        <v>18</v>
      </c>
      <c r="E147" s="2">
        <v>45849</v>
      </c>
      <c r="F147" s="2">
        <v>45850</v>
      </c>
      <c r="G147" t="s">
        <v>31</v>
      </c>
      <c r="H147" t="s">
        <v>53</v>
      </c>
      <c r="I147" s="3">
        <v>683.93</v>
      </c>
      <c r="J147" t="s">
        <v>20</v>
      </c>
      <c r="K147" s="4">
        <v>0</v>
      </c>
      <c r="L147" s="3">
        <f t="shared" si="8"/>
        <v>0</v>
      </c>
      <c r="M147" s="3">
        <f t="shared" si="9"/>
        <v>683.93</v>
      </c>
      <c r="N147">
        <f t="shared" si="10"/>
        <v>1</v>
      </c>
      <c r="O147" s="3">
        <f t="shared" si="11"/>
        <v>0</v>
      </c>
      <c r="P147" t="str" cm="1">
        <f t="array" ref="P147">_xlfn.IFS(C147&lt;18, "Under 18", C147&lt;36, "Btw 18&amp;35", C147&lt;51, "Btw 36&amp;50", C147&lt;66, "Btw 51&amp;65", C147&gt;=66," 66&amp;Above")</f>
        <v>Btw 51&amp;65</v>
      </c>
    </row>
    <row r="148" spans="1:16">
      <c r="A148" t="s">
        <v>339</v>
      </c>
      <c r="B148" t="s">
        <v>340</v>
      </c>
      <c r="C148">
        <v>77</v>
      </c>
      <c r="D148" t="s">
        <v>18</v>
      </c>
      <c r="E148" s="2">
        <v>45382</v>
      </c>
      <c r="F148" s="2">
        <v>45386</v>
      </c>
      <c r="G148" t="s">
        <v>31</v>
      </c>
      <c r="H148" t="s">
        <v>87</v>
      </c>
      <c r="I148" s="3">
        <v>2163.62</v>
      </c>
      <c r="J148" t="s">
        <v>15</v>
      </c>
      <c r="K148" s="4">
        <v>0.6</v>
      </c>
      <c r="L148" s="3">
        <f t="shared" si="8"/>
        <v>1298.1719999999998</v>
      </c>
      <c r="M148" s="3">
        <f t="shared" si="9"/>
        <v>865.44799999999998</v>
      </c>
      <c r="N148">
        <f t="shared" si="10"/>
        <v>4</v>
      </c>
      <c r="O148" s="3">
        <f t="shared" si="11"/>
        <v>2163.62</v>
      </c>
      <c r="P148" t="str" cm="1">
        <f t="array" ref="P148">_xlfn.IFS(C148&lt;18, "Under 18", C148&lt;36, "Btw 18&amp;35", C148&lt;51, "Btw 36&amp;50", C148&lt;66, "Btw 51&amp;65", C148&gt;=66," 66&amp;Above")</f>
        <v xml:space="preserve"> 66&amp;Above</v>
      </c>
    </row>
    <row r="149" spans="1:16">
      <c r="A149" t="s">
        <v>341</v>
      </c>
      <c r="B149" t="s">
        <v>342</v>
      </c>
      <c r="C149">
        <v>28</v>
      </c>
      <c r="D149" t="s">
        <v>18</v>
      </c>
      <c r="E149" s="2">
        <v>45904</v>
      </c>
      <c r="F149" s="2">
        <v>45907</v>
      </c>
      <c r="G149" t="s">
        <v>23</v>
      </c>
      <c r="H149" t="s">
        <v>82</v>
      </c>
      <c r="I149" s="3">
        <v>7033.75</v>
      </c>
      <c r="J149" t="s">
        <v>15</v>
      </c>
      <c r="K149" s="4">
        <v>0.9</v>
      </c>
      <c r="L149" s="3">
        <f t="shared" si="8"/>
        <v>6330.375</v>
      </c>
      <c r="M149" s="3">
        <f t="shared" si="9"/>
        <v>703.37499999999989</v>
      </c>
      <c r="N149">
        <f t="shared" si="10"/>
        <v>3</v>
      </c>
      <c r="O149" s="3">
        <f t="shared" si="11"/>
        <v>7033.75</v>
      </c>
      <c r="P149" t="str" cm="1">
        <f t="array" ref="P149">_xlfn.IFS(C149&lt;18, "Under 18", C149&lt;36, "Btw 18&amp;35", C149&lt;51, "Btw 36&amp;50", C149&lt;66, "Btw 51&amp;65", C149&gt;=66," 66&amp;Above")</f>
        <v>Btw 18&amp;35</v>
      </c>
    </row>
    <row r="150" spans="1:16">
      <c r="A150" t="s">
        <v>343</v>
      </c>
      <c r="B150" t="s">
        <v>344</v>
      </c>
      <c r="C150">
        <v>57</v>
      </c>
      <c r="D150" t="s">
        <v>18</v>
      </c>
      <c r="E150" s="2">
        <v>45647</v>
      </c>
      <c r="F150" s="2">
        <v>45652</v>
      </c>
      <c r="G150" t="s">
        <v>13</v>
      </c>
      <c r="H150" t="s">
        <v>102</v>
      </c>
      <c r="I150" s="3">
        <v>9216.99</v>
      </c>
      <c r="J150" t="s">
        <v>15</v>
      </c>
      <c r="K150" s="4">
        <v>1</v>
      </c>
      <c r="L150" s="3">
        <f t="shared" si="8"/>
        <v>9216.99</v>
      </c>
      <c r="M150" s="3">
        <f t="shared" si="9"/>
        <v>0</v>
      </c>
      <c r="N150">
        <f t="shared" si="10"/>
        <v>5</v>
      </c>
      <c r="O150" s="3">
        <f t="shared" si="11"/>
        <v>9216.99</v>
      </c>
      <c r="P150" t="str" cm="1">
        <f t="array" ref="P150">_xlfn.IFS(C150&lt;18, "Under 18", C150&lt;36, "Btw 18&amp;35", C150&lt;51, "Btw 36&amp;50", C150&lt;66, "Btw 51&amp;65", C150&gt;=66," 66&amp;Above")</f>
        <v>Btw 51&amp;65</v>
      </c>
    </row>
    <row r="151" spans="1:16">
      <c r="A151" t="s">
        <v>345</v>
      </c>
      <c r="B151" t="s">
        <v>346</v>
      </c>
      <c r="C151">
        <v>32</v>
      </c>
      <c r="D151" t="s">
        <v>18</v>
      </c>
      <c r="E151" s="2">
        <v>45778</v>
      </c>
      <c r="F151" s="2">
        <v>45780</v>
      </c>
      <c r="G151" t="s">
        <v>31</v>
      </c>
      <c r="H151" t="s">
        <v>53</v>
      </c>
      <c r="I151" s="3">
        <v>1561.35</v>
      </c>
      <c r="J151" t="s">
        <v>25</v>
      </c>
      <c r="K151" s="4">
        <v>0.9</v>
      </c>
      <c r="L151" s="3">
        <f t="shared" si="8"/>
        <v>1405.2149999999999</v>
      </c>
      <c r="M151" s="3">
        <f t="shared" si="9"/>
        <v>156.13499999999996</v>
      </c>
      <c r="N151">
        <f t="shared" si="10"/>
        <v>2</v>
      </c>
      <c r="O151" s="3">
        <f t="shared" si="11"/>
        <v>0</v>
      </c>
      <c r="P151" t="str" cm="1">
        <f t="array" ref="P151">_xlfn.IFS(C151&lt;18, "Under 18", C151&lt;36, "Btw 18&amp;35", C151&lt;51, "Btw 36&amp;50", C151&lt;66, "Btw 51&amp;65", C151&gt;=66," 66&amp;Above")</f>
        <v>Btw 18&amp;35</v>
      </c>
    </row>
    <row r="152" spans="1:16">
      <c r="A152" t="s">
        <v>347</v>
      </c>
      <c r="B152" t="s">
        <v>348</v>
      </c>
      <c r="C152">
        <v>41</v>
      </c>
      <c r="D152" t="s">
        <v>18</v>
      </c>
      <c r="E152" s="2">
        <v>45849</v>
      </c>
      <c r="F152" s="2">
        <v>45858</v>
      </c>
      <c r="G152" t="s">
        <v>13</v>
      </c>
      <c r="H152" t="s">
        <v>14</v>
      </c>
      <c r="I152" s="3">
        <v>24856.18</v>
      </c>
      <c r="J152" t="s">
        <v>15</v>
      </c>
      <c r="K152" s="4">
        <v>1</v>
      </c>
      <c r="L152" s="3">
        <f t="shared" si="8"/>
        <v>24856.18</v>
      </c>
      <c r="M152" s="3">
        <f t="shared" si="9"/>
        <v>0</v>
      </c>
      <c r="N152">
        <f t="shared" si="10"/>
        <v>9</v>
      </c>
      <c r="O152" s="3">
        <f t="shared" si="11"/>
        <v>24856.18</v>
      </c>
      <c r="P152" t="str" cm="1">
        <f t="array" ref="P152">_xlfn.IFS(C152&lt;18, "Under 18", C152&lt;36, "Btw 18&amp;35", C152&lt;51, "Btw 36&amp;50", C152&lt;66, "Btw 51&amp;65", C152&gt;=66," 66&amp;Above")</f>
        <v>Btw 36&amp;50</v>
      </c>
    </row>
    <row r="153" spans="1:16">
      <c r="A153" t="s">
        <v>349</v>
      </c>
      <c r="B153" t="s">
        <v>350</v>
      </c>
      <c r="C153">
        <v>43</v>
      </c>
      <c r="D153" t="s">
        <v>12</v>
      </c>
      <c r="E153" s="2">
        <v>45799</v>
      </c>
      <c r="F153" s="2">
        <v>45801</v>
      </c>
      <c r="G153" t="s">
        <v>23</v>
      </c>
      <c r="H153" t="s">
        <v>82</v>
      </c>
      <c r="I153" s="3">
        <v>2493.0500000000002</v>
      </c>
      <c r="J153" t="s">
        <v>15</v>
      </c>
      <c r="K153" s="4">
        <v>0.9</v>
      </c>
      <c r="L153" s="3">
        <f t="shared" si="8"/>
        <v>2243.7450000000003</v>
      </c>
      <c r="M153" s="3">
        <f t="shared" si="9"/>
        <v>249.30499999999995</v>
      </c>
      <c r="N153">
        <f t="shared" si="10"/>
        <v>2</v>
      </c>
      <c r="O153" s="3">
        <f t="shared" si="11"/>
        <v>2493.0500000000002</v>
      </c>
      <c r="P153" t="str" cm="1">
        <f t="array" ref="P153">_xlfn.IFS(C153&lt;18, "Under 18", C153&lt;36, "Btw 18&amp;35", C153&lt;51, "Btw 36&amp;50", C153&lt;66, "Btw 51&amp;65", C153&gt;=66," 66&amp;Above")</f>
        <v>Btw 36&amp;50</v>
      </c>
    </row>
    <row r="154" spans="1:16">
      <c r="A154" t="s">
        <v>351</v>
      </c>
      <c r="B154" t="s">
        <v>352</v>
      </c>
      <c r="C154">
        <v>49</v>
      </c>
      <c r="D154" t="s">
        <v>12</v>
      </c>
      <c r="E154" s="2">
        <v>45400</v>
      </c>
      <c r="F154" s="2">
        <v>45403</v>
      </c>
      <c r="G154" t="s">
        <v>23</v>
      </c>
      <c r="H154" t="s">
        <v>41</v>
      </c>
      <c r="I154" s="3">
        <v>5177.47</v>
      </c>
      <c r="J154" t="s">
        <v>15</v>
      </c>
      <c r="K154" s="4">
        <v>0.6</v>
      </c>
      <c r="L154" s="3">
        <f t="shared" si="8"/>
        <v>3106.482</v>
      </c>
      <c r="M154" s="3">
        <f t="shared" si="9"/>
        <v>2070.9880000000003</v>
      </c>
      <c r="N154">
        <f t="shared" si="10"/>
        <v>3</v>
      </c>
      <c r="O154" s="3">
        <f t="shared" si="11"/>
        <v>5177.47</v>
      </c>
      <c r="P154" t="str" cm="1">
        <f t="array" ref="P154">_xlfn.IFS(C154&lt;18, "Under 18", C154&lt;36, "Btw 18&amp;35", C154&lt;51, "Btw 36&amp;50", C154&lt;66, "Btw 51&amp;65", C154&gt;=66," 66&amp;Above")</f>
        <v>Btw 36&amp;50</v>
      </c>
    </row>
    <row r="155" spans="1:16">
      <c r="A155" t="s">
        <v>353</v>
      </c>
      <c r="B155" t="s">
        <v>354</v>
      </c>
      <c r="C155">
        <v>75</v>
      </c>
      <c r="D155" t="s">
        <v>18</v>
      </c>
      <c r="E155" s="2">
        <v>45745</v>
      </c>
      <c r="F155" s="2">
        <v>45753</v>
      </c>
      <c r="G155" t="s">
        <v>60</v>
      </c>
      <c r="H155" t="s">
        <v>74</v>
      </c>
      <c r="I155" s="3">
        <v>12122.8</v>
      </c>
      <c r="J155" t="s">
        <v>15</v>
      </c>
      <c r="K155" s="4">
        <v>0.8</v>
      </c>
      <c r="L155" s="3">
        <f t="shared" si="8"/>
        <v>9698.24</v>
      </c>
      <c r="M155" s="3">
        <f t="shared" si="9"/>
        <v>2424.5599999999995</v>
      </c>
      <c r="N155">
        <f t="shared" si="10"/>
        <v>8</v>
      </c>
      <c r="O155" s="3">
        <f t="shared" si="11"/>
        <v>12122.8</v>
      </c>
      <c r="P155" t="str" cm="1">
        <f t="array" ref="P155">_xlfn.IFS(C155&lt;18, "Under 18", C155&lt;36, "Btw 18&amp;35", C155&lt;51, "Btw 36&amp;50", C155&lt;66, "Btw 51&amp;65", C155&gt;=66," 66&amp;Above")</f>
        <v xml:space="preserve"> 66&amp;Above</v>
      </c>
    </row>
    <row r="156" spans="1:16">
      <c r="A156" t="s">
        <v>355</v>
      </c>
      <c r="B156" t="s">
        <v>356</v>
      </c>
      <c r="C156">
        <v>48</v>
      </c>
      <c r="D156" t="s">
        <v>12</v>
      </c>
      <c r="E156" s="2">
        <v>45542</v>
      </c>
      <c r="F156" s="2">
        <v>45546</v>
      </c>
      <c r="G156" t="s">
        <v>70</v>
      </c>
      <c r="H156" t="s">
        <v>157</v>
      </c>
      <c r="I156" s="3">
        <v>6625.48</v>
      </c>
      <c r="J156" t="s">
        <v>25</v>
      </c>
      <c r="K156" s="4">
        <v>0.6</v>
      </c>
      <c r="L156" s="3">
        <f t="shared" si="8"/>
        <v>3975.2879999999996</v>
      </c>
      <c r="M156" s="3">
        <f t="shared" si="9"/>
        <v>2650.192</v>
      </c>
      <c r="N156">
        <f t="shared" si="10"/>
        <v>4</v>
      </c>
      <c r="O156" s="3">
        <f t="shared" si="11"/>
        <v>0</v>
      </c>
      <c r="P156" t="str" cm="1">
        <f t="array" ref="P156">_xlfn.IFS(C156&lt;18, "Under 18", C156&lt;36, "Btw 18&amp;35", C156&lt;51, "Btw 36&amp;50", C156&lt;66, "Btw 51&amp;65", C156&gt;=66," 66&amp;Above")</f>
        <v>Btw 36&amp;50</v>
      </c>
    </row>
    <row r="157" spans="1:16">
      <c r="A157" t="s">
        <v>357</v>
      </c>
      <c r="B157" t="s">
        <v>358</v>
      </c>
      <c r="C157">
        <v>72</v>
      </c>
      <c r="D157" t="s">
        <v>12</v>
      </c>
      <c r="E157" s="2">
        <v>45496</v>
      </c>
      <c r="F157" s="2">
        <v>45505</v>
      </c>
      <c r="G157" t="s">
        <v>60</v>
      </c>
      <c r="H157" t="s">
        <v>77</v>
      </c>
      <c r="I157" s="3">
        <v>17423.45</v>
      </c>
      <c r="J157" t="s">
        <v>25</v>
      </c>
      <c r="K157" s="4">
        <v>0.7</v>
      </c>
      <c r="L157" s="3">
        <f t="shared" si="8"/>
        <v>12196.414999999999</v>
      </c>
      <c r="M157" s="3">
        <f t="shared" si="9"/>
        <v>5227.0350000000008</v>
      </c>
      <c r="N157">
        <f t="shared" si="10"/>
        <v>9</v>
      </c>
      <c r="O157" s="3">
        <f t="shared" si="11"/>
        <v>0</v>
      </c>
      <c r="P157" t="str" cm="1">
        <f t="array" ref="P157">_xlfn.IFS(C157&lt;18, "Under 18", C157&lt;36, "Btw 18&amp;35", C157&lt;51, "Btw 36&amp;50", C157&lt;66, "Btw 51&amp;65", C157&gt;=66," 66&amp;Above")</f>
        <v xml:space="preserve"> 66&amp;Above</v>
      </c>
    </row>
    <row r="158" spans="1:16">
      <c r="A158" t="s">
        <v>359</v>
      </c>
      <c r="B158" t="s">
        <v>360</v>
      </c>
      <c r="C158">
        <v>65</v>
      </c>
      <c r="D158" t="s">
        <v>12</v>
      </c>
      <c r="E158" s="2">
        <v>45469</v>
      </c>
      <c r="F158" s="2">
        <v>45478</v>
      </c>
      <c r="G158" t="s">
        <v>13</v>
      </c>
      <c r="H158" t="s">
        <v>19</v>
      </c>
      <c r="I158" s="3">
        <v>13753.53</v>
      </c>
      <c r="J158" t="s">
        <v>20</v>
      </c>
      <c r="K158" s="4">
        <v>0.9</v>
      </c>
      <c r="L158" s="3">
        <f t="shared" si="8"/>
        <v>12378.177000000001</v>
      </c>
      <c r="M158" s="3">
        <f t="shared" si="9"/>
        <v>1375.3529999999998</v>
      </c>
      <c r="N158">
        <f t="shared" si="10"/>
        <v>9</v>
      </c>
      <c r="O158" s="3">
        <f t="shared" si="11"/>
        <v>0</v>
      </c>
      <c r="P158" t="str" cm="1">
        <f t="array" ref="P158">_xlfn.IFS(C158&lt;18, "Under 18", C158&lt;36, "Btw 18&amp;35", C158&lt;51, "Btw 36&amp;50", C158&lt;66, "Btw 51&amp;65", C158&gt;=66," 66&amp;Above")</f>
        <v>Btw 51&amp;65</v>
      </c>
    </row>
    <row r="159" spans="1:16">
      <c r="A159" t="s">
        <v>361</v>
      </c>
      <c r="B159" t="s">
        <v>250</v>
      </c>
      <c r="C159">
        <v>44</v>
      </c>
      <c r="D159" t="s">
        <v>12</v>
      </c>
      <c r="E159" s="2">
        <v>45926</v>
      </c>
      <c r="F159" s="2">
        <v>45936</v>
      </c>
      <c r="G159" t="s">
        <v>13</v>
      </c>
      <c r="H159" t="s">
        <v>14</v>
      </c>
      <c r="I159" s="3">
        <v>18100.37</v>
      </c>
      <c r="J159" t="s">
        <v>15</v>
      </c>
      <c r="K159" s="4">
        <v>0.8</v>
      </c>
      <c r="L159" s="3">
        <f t="shared" si="8"/>
        <v>14480.296</v>
      </c>
      <c r="M159" s="3">
        <f t="shared" si="9"/>
        <v>3620.0739999999992</v>
      </c>
      <c r="N159">
        <f t="shared" si="10"/>
        <v>10</v>
      </c>
      <c r="O159" s="3">
        <f t="shared" si="11"/>
        <v>18100.37</v>
      </c>
      <c r="P159" t="str" cm="1">
        <f t="array" ref="P159">_xlfn.IFS(C159&lt;18, "Under 18", C159&lt;36, "Btw 18&amp;35", C159&lt;51, "Btw 36&amp;50", C159&lt;66, "Btw 51&amp;65", C159&gt;=66," 66&amp;Above")</f>
        <v>Btw 36&amp;50</v>
      </c>
    </row>
    <row r="160" spans="1:16">
      <c r="A160" t="s">
        <v>362</v>
      </c>
      <c r="B160" t="s">
        <v>363</v>
      </c>
      <c r="C160">
        <v>48</v>
      </c>
      <c r="D160" t="s">
        <v>18</v>
      </c>
      <c r="E160" s="2">
        <v>45540</v>
      </c>
      <c r="F160" s="2">
        <v>45547</v>
      </c>
      <c r="G160" t="s">
        <v>60</v>
      </c>
      <c r="H160" t="s">
        <v>133</v>
      </c>
      <c r="I160" s="3">
        <v>16172.66</v>
      </c>
      <c r="J160" t="s">
        <v>20</v>
      </c>
      <c r="K160" s="4">
        <v>0.7</v>
      </c>
      <c r="L160" s="3">
        <f t="shared" si="8"/>
        <v>11320.861999999999</v>
      </c>
      <c r="M160" s="3">
        <f t="shared" si="9"/>
        <v>4851.7980000000007</v>
      </c>
      <c r="N160">
        <f t="shared" si="10"/>
        <v>7</v>
      </c>
      <c r="O160" s="3">
        <f t="shared" si="11"/>
        <v>0</v>
      </c>
      <c r="P160" t="str" cm="1">
        <f t="array" ref="P160">_xlfn.IFS(C160&lt;18, "Under 18", C160&lt;36, "Btw 18&amp;35", C160&lt;51, "Btw 36&amp;50", C160&lt;66, "Btw 51&amp;65", C160&gt;=66," 66&amp;Above")</f>
        <v>Btw 36&amp;50</v>
      </c>
    </row>
    <row r="161" spans="1:16">
      <c r="A161" t="s">
        <v>364</v>
      </c>
      <c r="B161" t="s">
        <v>365</v>
      </c>
      <c r="C161">
        <v>43</v>
      </c>
      <c r="D161" t="s">
        <v>18</v>
      </c>
      <c r="E161" s="2">
        <v>45514</v>
      </c>
      <c r="F161" s="2">
        <v>45521</v>
      </c>
      <c r="G161" t="s">
        <v>31</v>
      </c>
      <c r="H161" t="s">
        <v>44</v>
      </c>
      <c r="I161" s="3">
        <v>7133.08</v>
      </c>
      <c r="J161" t="s">
        <v>20</v>
      </c>
      <c r="K161" s="4">
        <v>0.9</v>
      </c>
      <c r="L161" s="3">
        <f t="shared" si="8"/>
        <v>6419.7719999999999</v>
      </c>
      <c r="M161" s="3">
        <f t="shared" si="9"/>
        <v>713.30799999999988</v>
      </c>
      <c r="N161">
        <f t="shared" si="10"/>
        <v>7</v>
      </c>
      <c r="O161" s="3">
        <f t="shared" si="11"/>
        <v>0</v>
      </c>
      <c r="P161" t="str" cm="1">
        <f t="array" ref="P161">_xlfn.IFS(C161&lt;18, "Under 18", C161&lt;36, "Btw 18&amp;35", C161&lt;51, "Btw 36&amp;50", C161&lt;66, "Btw 51&amp;65", C161&gt;=66," 66&amp;Above")</f>
        <v>Btw 36&amp;50</v>
      </c>
    </row>
    <row r="162" spans="1:16">
      <c r="A162" t="s">
        <v>366</v>
      </c>
      <c r="B162" t="s">
        <v>367</v>
      </c>
      <c r="C162">
        <v>48</v>
      </c>
      <c r="D162" t="s">
        <v>12</v>
      </c>
      <c r="E162" s="2">
        <v>46013</v>
      </c>
      <c r="F162" s="2">
        <v>46023</v>
      </c>
      <c r="G162" t="s">
        <v>13</v>
      </c>
      <c r="H162" t="s">
        <v>14</v>
      </c>
      <c r="I162" s="3">
        <v>27699.3</v>
      </c>
      <c r="J162" t="s">
        <v>20</v>
      </c>
      <c r="K162" s="4">
        <v>0.5</v>
      </c>
      <c r="L162" s="3">
        <f t="shared" si="8"/>
        <v>13849.65</v>
      </c>
      <c r="M162" s="3">
        <f t="shared" si="9"/>
        <v>13849.65</v>
      </c>
      <c r="N162">
        <f t="shared" si="10"/>
        <v>10</v>
      </c>
      <c r="O162" s="3">
        <f t="shared" si="11"/>
        <v>0</v>
      </c>
      <c r="P162" t="str" cm="1">
        <f t="array" ref="P162">_xlfn.IFS(C162&lt;18, "Under 18", C162&lt;36, "Btw 18&amp;35", C162&lt;51, "Btw 36&amp;50", C162&lt;66, "Btw 51&amp;65", C162&gt;=66," 66&amp;Above")</f>
        <v>Btw 36&amp;50</v>
      </c>
    </row>
    <row r="163" spans="1:16">
      <c r="A163" t="s">
        <v>368</v>
      </c>
      <c r="B163" t="s">
        <v>369</v>
      </c>
      <c r="C163">
        <v>77</v>
      </c>
      <c r="D163" t="s">
        <v>12</v>
      </c>
      <c r="E163" s="2">
        <v>45475</v>
      </c>
      <c r="F163" s="2">
        <v>45476</v>
      </c>
      <c r="G163" t="s">
        <v>23</v>
      </c>
      <c r="H163" t="s">
        <v>24</v>
      </c>
      <c r="I163" s="3">
        <v>1403.37</v>
      </c>
      <c r="J163" t="s">
        <v>20</v>
      </c>
      <c r="K163" s="4">
        <v>0.8</v>
      </c>
      <c r="L163" s="3">
        <f t="shared" si="8"/>
        <v>1122.6959999999999</v>
      </c>
      <c r="M163" s="3">
        <f t="shared" si="9"/>
        <v>280.67399999999992</v>
      </c>
      <c r="N163">
        <f t="shared" si="10"/>
        <v>1</v>
      </c>
      <c r="O163" s="3">
        <f t="shared" si="11"/>
        <v>0</v>
      </c>
      <c r="P163" t="str" cm="1">
        <f t="array" ref="P163">_xlfn.IFS(C163&lt;18, "Under 18", C163&lt;36, "Btw 18&amp;35", C163&lt;51, "Btw 36&amp;50", C163&lt;66, "Btw 51&amp;65", C163&gt;=66," 66&amp;Above")</f>
        <v xml:space="preserve"> 66&amp;Above</v>
      </c>
    </row>
    <row r="164" spans="1:16">
      <c r="A164" t="s">
        <v>370</v>
      </c>
      <c r="B164" t="s">
        <v>348</v>
      </c>
      <c r="C164">
        <v>69</v>
      </c>
      <c r="D164" t="s">
        <v>18</v>
      </c>
      <c r="E164" s="2">
        <v>45417</v>
      </c>
      <c r="F164" s="2">
        <v>45420</v>
      </c>
      <c r="G164" t="s">
        <v>23</v>
      </c>
      <c r="H164" t="s">
        <v>204</v>
      </c>
      <c r="I164" s="3">
        <v>3350.67</v>
      </c>
      <c r="J164" t="s">
        <v>20</v>
      </c>
      <c r="K164" s="4">
        <v>0.8</v>
      </c>
      <c r="L164" s="3">
        <f t="shared" si="8"/>
        <v>2680.5360000000001</v>
      </c>
      <c r="M164" s="3">
        <f t="shared" si="9"/>
        <v>670.1339999999999</v>
      </c>
      <c r="N164">
        <f t="shared" si="10"/>
        <v>3</v>
      </c>
      <c r="O164" s="3">
        <f t="shared" si="11"/>
        <v>0</v>
      </c>
      <c r="P164" t="str" cm="1">
        <f t="array" ref="P164">_xlfn.IFS(C164&lt;18, "Under 18", C164&lt;36, "Btw 18&amp;35", C164&lt;51, "Btw 36&amp;50", C164&lt;66, "Btw 51&amp;65", C164&gt;=66," 66&amp;Above")</f>
        <v xml:space="preserve"> 66&amp;Above</v>
      </c>
    </row>
    <row r="165" spans="1:16">
      <c r="A165" t="s">
        <v>371</v>
      </c>
      <c r="B165" t="s">
        <v>372</v>
      </c>
      <c r="C165">
        <v>52</v>
      </c>
      <c r="D165" t="s">
        <v>18</v>
      </c>
      <c r="E165" s="2">
        <v>45324</v>
      </c>
      <c r="F165" s="2">
        <v>45326</v>
      </c>
      <c r="G165" t="s">
        <v>23</v>
      </c>
      <c r="H165" t="s">
        <v>204</v>
      </c>
      <c r="I165" s="3">
        <v>2922.92</v>
      </c>
      <c r="J165" t="s">
        <v>20</v>
      </c>
      <c r="K165" s="4">
        <v>1</v>
      </c>
      <c r="L165" s="3">
        <f t="shared" si="8"/>
        <v>2922.92</v>
      </c>
      <c r="M165" s="3">
        <f t="shared" si="9"/>
        <v>0</v>
      </c>
      <c r="N165">
        <f t="shared" si="10"/>
        <v>2</v>
      </c>
      <c r="O165" s="3">
        <f t="shared" si="11"/>
        <v>0</v>
      </c>
      <c r="P165" t="str" cm="1">
        <f t="array" ref="P165">_xlfn.IFS(C165&lt;18, "Under 18", C165&lt;36, "Btw 18&amp;35", C165&lt;51, "Btw 36&amp;50", C165&lt;66, "Btw 51&amp;65", C165&gt;=66," 66&amp;Above")</f>
        <v>Btw 51&amp;65</v>
      </c>
    </row>
    <row r="166" spans="1:16">
      <c r="A166" t="s">
        <v>373</v>
      </c>
      <c r="B166" t="s">
        <v>374</v>
      </c>
      <c r="C166">
        <v>67</v>
      </c>
      <c r="D166" t="s">
        <v>18</v>
      </c>
      <c r="E166" s="2">
        <v>45617</v>
      </c>
      <c r="F166" s="2">
        <v>45619</v>
      </c>
      <c r="G166" t="s">
        <v>23</v>
      </c>
      <c r="H166" t="s">
        <v>204</v>
      </c>
      <c r="I166" s="3">
        <v>2127.71</v>
      </c>
      <c r="J166" t="s">
        <v>25</v>
      </c>
      <c r="K166" s="4">
        <v>0.9</v>
      </c>
      <c r="L166" s="3">
        <f t="shared" si="8"/>
        <v>1914.9390000000001</v>
      </c>
      <c r="M166" s="3">
        <f t="shared" si="9"/>
        <v>212.77099999999996</v>
      </c>
      <c r="N166">
        <f t="shared" si="10"/>
        <v>2</v>
      </c>
      <c r="O166" s="3">
        <f t="shared" si="11"/>
        <v>0</v>
      </c>
      <c r="P166" t="str" cm="1">
        <f t="array" ref="P166">_xlfn.IFS(C166&lt;18, "Under 18", C166&lt;36, "Btw 18&amp;35", C166&lt;51, "Btw 36&amp;50", C166&lt;66, "Btw 51&amp;65", C166&gt;=66," 66&amp;Above")</f>
        <v xml:space="preserve"> 66&amp;Above</v>
      </c>
    </row>
    <row r="167" spans="1:16">
      <c r="A167" t="s">
        <v>375</v>
      </c>
      <c r="B167" t="s">
        <v>220</v>
      </c>
      <c r="C167">
        <v>75</v>
      </c>
      <c r="D167" t="s">
        <v>18</v>
      </c>
      <c r="E167" s="2">
        <v>45913</v>
      </c>
      <c r="F167" s="2">
        <v>45922</v>
      </c>
      <c r="G167" t="s">
        <v>13</v>
      </c>
      <c r="H167" t="s">
        <v>165</v>
      </c>
      <c r="I167" s="3">
        <v>15507.09</v>
      </c>
      <c r="J167" t="s">
        <v>15</v>
      </c>
      <c r="K167" s="4">
        <v>0.9</v>
      </c>
      <c r="L167" s="3">
        <f t="shared" si="8"/>
        <v>13956.381000000001</v>
      </c>
      <c r="M167" s="3">
        <f t="shared" si="9"/>
        <v>1550.7089999999996</v>
      </c>
      <c r="N167">
        <f t="shared" si="10"/>
        <v>9</v>
      </c>
      <c r="O167" s="3">
        <f t="shared" si="11"/>
        <v>15507.09</v>
      </c>
      <c r="P167" t="str" cm="1">
        <f t="array" ref="P167">_xlfn.IFS(C167&lt;18, "Under 18", C167&lt;36, "Btw 18&amp;35", C167&lt;51, "Btw 36&amp;50", C167&lt;66, "Btw 51&amp;65", C167&gt;=66," 66&amp;Above")</f>
        <v xml:space="preserve"> 66&amp;Above</v>
      </c>
    </row>
    <row r="168" spans="1:16">
      <c r="A168" t="s">
        <v>376</v>
      </c>
      <c r="B168" t="s">
        <v>377</v>
      </c>
      <c r="C168">
        <v>3</v>
      </c>
      <c r="D168" t="s">
        <v>12</v>
      </c>
      <c r="E168" s="2">
        <v>45884</v>
      </c>
      <c r="F168" s="2">
        <v>45886</v>
      </c>
      <c r="G168" t="s">
        <v>49</v>
      </c>
      <c r="H168" t="s">
        <v>378</v>
      </c>
      <c r="I168" s="3">
        <v>2767.57</v>
      </c>
      <c r="J168" t="s">
        <v>15</v>
      </c>
      <c r="K168" s="4">
        <v>0.5</v>
      </c>
      <c r="L168" s="3">
        <f t="shared" si="8"/>
        <v>1383.7850000000001</v>
      </c>
      <c r="M168" s="3">
        <f t="shared" si="9"/>
        <v>1383.7850000000001</v>
      </c>
      <c r="N168">
        <f t="shared" si="10"/>
        <v>2</v>
      </c>
      <c r="O168" s="3">
        <f t="shared" si="11"/>
        <v>2767.57</v>
      </c>
      <c r="P168" t="str" cm="1">
        <f t="array" ref="P168">_xlfn.IFS(C168&lt;18, "Under 18", C168&lt;36, "Btw 18&amp;35", C168&lt;51, "Btw 36&amp;50", C168&lt;66, "Btw 51&amp;65", C168&gt;=66," 66&amp;Above")</f>
        <v>Under 18</v>
      </c>
    </row>
    <row r="169" spans="1:16">
      <c r="A169" t="s">
        <v>379</v>
      </c>
      <c r="B169" t="s">
        <v>380</v>
      </c>
      <c r="C169">
        <v>82</v>
      </c>
      <c r="D169" t="s">
        <v>18</v>
      </c>
      <c r="E169" s="2">
        <v>45869</v>
      </c>
      <c r="F169" s="2">
        <v>45870</v>
      </c>
      <c r="G169" t="s">
        <v>23</v>
      </c>
      <c r="H169" t="s">
        <v>24</v>
      </c>
      <c r="I169" s="3">
        <v>1998.09</v>
      </c>
      <c r="J169" t="s">
        <v>15</v>
      </c>
      <c r="K169" s="4">
        <v>0.8</v>
      </c>
      <c r="L169" s="3">
        <f t="shared" si="8"/>
        <v>1598.472</v>
      </c>
      <c r="M169" s="3">
        <f t="shared" si="9"/>
        <v>399.61799999999988</v>
      </c>
      <c r="N169">
        <f t="shared" si="10"/>
        <v>1</v>
      </c>
      <c r="O169" s="3">
        <f t="shared" si="11"/>
        <v>1998.09</v>
      </c>
      <c r="P169" t="str" cm="1">
        <f t="array" ref="P169">_xlfn.IFS(C169&lt;18, "Under 18", C169&lt;36, "Btw 18&amp;35", C169&lt;51, "Btw 36&amp;50", C169&lt;66, "Btw 51&amp;65", C169&gt;=66," 66&amp;Above")</f>
        <v xml:space="preserve"> 66&amp;Above</v>
      </c>
    </row>
    <row r="170" spans="1:16">
      <c r="A170" t="s">
        <v>381</v>
      </c>
      <c r="B170" t="s">
        <v>382</v>
      </c>
      <c r="C170">
        <v>16</v>
      </c>
      <c r="D170" t="s">
        <v>18</v>
      </c>
      <c r="E170" s="2">
        <v>45748</v>
      </c>
      <c r="F170" s="2">
        <v>45753</v>
      </c>
      <c r="G170" t="s">
        <v>49</v>
      </c>
      <c r="H170" t="s">
        <v>130</v>
      </c>
      <c r="I170" s="3">
        <v>6351.72</v>
      </c>
      <c r="J170" t="s">
        <v>15</v>
      </c>
      <c r="K170" s="4">
        <v>0.6</v>
      </c>
      <c r="L170" s="3">
        <f t="shared" si="8"/>
        <v>3811.0320000000002</v>
      </c>
      <c r="M170" s="3">
        <f t="shared" si="9"/>
        <v>2540.6880000000001</v>
      </c>
      <c r="N170">
        <f t="shared" si="10"/>
        <v>5</v>
      </c>
      <c r="O170" s="3">
        <f t="shared" si="11"/>
        <v>6351.72</v>
      </c>
      <c r="P170" t="str" cm="1">
        <f t="array" ref="P170">_xlfn.IFS(C170&lt;18, "Under 18", C170&lt;36, "Btw 18&amp;35", C170&lt;51, "Btw 36&amp;50", C170&lt;66, "Btw 51&amp;65", C170&gt;=66," 66&amp;Above")</f>
        <v>Under 18</v>
      </c>
    </row>
    <row r="171" spans="1:16">
      <c r="A171" t="s">
        <v>383</v>
      </c>
      <c r="B171" t="s">
        <v>384</v>
      </c>
      <c r="C171">
        <v>47</v>
      </c>
      <c r="D171" t="s">
        <v>12</v>
      </c>
      <c r="E171" s="2">
        <v>45697</v>
      </c>
      <c r="F171" s="2">
        <v>45699</v>
      </c>
      <c r="G171" t="s">
        <v>23</v>
      </c>
      <c r="H171" t="s">
        <v>41</v>
      </c>
      <c r="I171" s="3">
        <v>2177.35</v>
      </c>
      <c r="J171" t="s">
        <v>15</v>
      </c>
      <c r="K171" s="4">
        <v>0.8</v>
      </c>
      <c r="L171" s="3">
        <f t="shared" si="8"/>
        <v>1741.88</v>
      </c>
      <c r="M171" s="3">
        <f t="shared" si="9"/>
        <v>435.46999999999986</v>
      </c>
      <c r="N171">
        <f t="shared" si="10"/>
        <v>2</v>
      </c>
      <c r="O171" s="3">
        <f t="shared" si="11"/>
        <v>2177.35</v>
      </c>
      <c r="P171" t="str" cm="1">
        <f t="array" ref="P171">_xlfn.IFS(C171&lt;18, "Under 18", C171&lt;36, "Btw 18&amp;35", C171&lt;51, "Btw 36&amp;50", C171&lt;66, "Btw 51&amp;65", C171&gt;=66," 66&amp;Above")</f>
        <v>Btw 36&amp;50</v>
      </c>
    </row>
    <row r="172" spans="1:16">
      <c r="A172" t="s">
        <v>385</v>
      </c>
      <c r="B172" t="s">
        <v>386</v>
      </c>
      <c r="C172">
        <v>52</v>
      </c>
      <c r="D172" t="s">
        <v>18</v>
      </c>
      <c r="E172" s="2">
        <v>45820</v>
      </c>
      <c r="F172" s="2">
        <v>45823</v>
      </c>
      <c r="G172" t="s">
        <v>13</v>
      </c>
      <c r="H172" t="s">
        <v>19</v>
      </c>
      <c r="I172" s="3">
        <v>4484.95</v>
      </c>
      <c r="J172" t="s">
        <v>15</v>
      </c>
      <c r="K172" s="4">
        <v>0.8</v>
      </c>
      <c r="L172" s="3">
        <f t="shared" si="8"/>
        <v>3587.96</v>
      </c>
      <c r="M172" s="3">
        <f t="shared" si="9"/>
        <v>896.98999999999978</v>
      </c>
      <c r="N172">
        <f t="shared" si="10"/>
        <v>3</v>
      </c>
      <c r="O172" s="3">
        <f t="shared" si="11"/>
        <v>4484.95</v>
      </c>
      <c r="P172" t="str" cm="1">
        <f t="array" ref="P172">_xlfn.IFS(C172&lt;18, "Under 18", C172&lt;36, "Btw 18&amp;35", C172&lt;51, "Btw 36&amp;50", C172&lt;66, "Btw 51&amp;65", C172&gt;=66," 66&amp;Above")</f>
        <v>Btw 51&amp;65</v>
      </c>
    </row>
    <row r="173" spans="1:16">
      <c r="A173" t="s">
        <v>387</v>
      </c>
      <c r="B173" t="s">
        <v>388</v>
      </c>
      <c r="C173">
        <v>81</v>
      </c>
      <c r="D173" t="s">
        <v>12</v>
      </c>
      <c r="E173" s="2">
        <v>45532</v>
      </c>
      <c r="F173" s="2">
        <v>45534</v>
      </c>
      <c r="G173" t="s">
        <v>23</v>
      </c>
      <c r="H173" t="s">
        <v>221</v>
      </c>
      <c r="I173" s="3">
        <v>3381.88</v>
      </c>
      <c r="J173" t="s">
        <v>15</v>
      </c>
      <c r="K173" s="4">
        <v>0.9</v>
      </c>
      <c r="L173" s="3">
        <f t="shared" si="8"/>
        <v>3043.692</v>
      </c>
      <c r="M173" s="3">
        <f t="shared" si="9"/>
        <v>338.18799999999993</v>
      </c>
      <c r="N173">
        <f t="shared" si="10"/>
        <v>2</v>
      </c>
      <c r="O173" s="3">
        <f t="shared" si="11"/>
        <v>3381.88</v>
      </c>
      <c r="P173" t="str" cm="1">
        <f t="array" ref="P173">_xlfn.IFS(C173&lt;18, "Under 18", C173&lt;36, "Btw 18&amp;35", C173&lt;51, "Btw 36&amp;50", C173&lt;66, "Btw 51&amp;65", C173&gt;=66," 66&amp;Above")</f>
        <v xml:space="preserve"> 66&amp;Above</v>
      </c>
    </row>
    <row r="174" spans="1:16">
      <c r="A174" t="s">
        <v>389</v>
      </c>
      <c r="B174" t="s">
        <v>390</v>
      </c>
      <c r="C174">
        <v>60</v>
      </c>
      <c r="D174" t="s">
        <v>12</v>
      </c>
      <c r="E174" s="2">
        <v>45831</v>
      </c>
      <c r="F174" s="2">
        <v>45836</v>
      </c>
      <c r="G174" t="s">
        <v>60</v>
      </c>
      <c r="H174" t="s">
        <v>97</v>
      </c>
      <c r="I174" s="3">
        <v>11601.6</v>
      </c>
      <c r="J174" t="s">
        <v>20</v>
      </c>
      <c r="K174" s="4">
        <v>0.7</v>
      </c>
      <c r="L174" s="3">
        <f t="shared" si="8"/>
        <v>8121.12</v>
      </c>
      <c r="M174" s="3">
        <f t="shared" si="9"/>
        <v>3480.4800000000005</v>
      </c>
      <c r="N174">
        <f t="shared" si="10"/>
        <v>5</v>
      </c>
      <c r="O174" s="3">
        <f t="shared" si="11"/>
        <v>0</v>
      </c>
      <c r="P174" t="str" cm="1">
        <f t="array" ref="P174">_xlfn.IFS(C174&lt;18, "Under 18", C174&lt;36, "Btw 18&amp;35", C174&lt;51, "Btw 36&amp;50", C174&lt;66, "Btw 51&amp;65", C174&gt;=66," 66&amp;Above")</f>
        <v>Btw 51&amp;65</v>
      </c>
    </row>
    <row r="175" spans="1:16">
      <c r="A175" t="s">
        <v>391</v>
      </c>
      <c r="B175" t="s">
        <v>392</v>
      </c>
      <c r="C175">
        <v>82</v>
      </c>
      <c r="D175" t="s">
        <v>18</v>
      </c>
      <c r="E175" s="2">
        <v>45717</v>
      </c>
      <c r="F175" s="2">
        <v>45719</v>
      </c>
      <c r="G175" t="s">
        <v>23</v>
      </c>
      <c r="H175" t="s">
        <v>24</v>
      </c>
      <c r="I175" s="3">
        <v>2198.17</v>
      </c>
      <c r="J175" t="s">
        <v>15</v>
      </c>
      <c r="K175" s="4">
        <v>0.9</v>
      </c>
      <c r="L175" s="3">
        <f t="shared" si="8"/>
        <v>1978.3530000000001</v>
      </c>
      <c r="M175" s="3">
        <f t="shared" si="9"/>
        <v>219.81699999999995</v>
      </c>
      <c r="N175">
        <f t="shared" si="10"/>
        <v>2</v>
      </c>
      <c r="O175" s="3">
        <f t="shared" si="11"/>
        <v>2198.17</v>
      </c>
      <c r="P175" t="str" cm="1">
        <f t="array" ref="P175">_xlfn.IFS(C175&lt;18, "Under 18", C175&lt;36, "Btw 18&amp;35", C175&lt;51, "Btw 36&amp;50", C175&lt;66, "Btw 51&amp;65", C175&gt;=66," 66&amp;Above")</f>
        <v xml:space="preserve"> 66&amp;Above</v>
      </c>
    </row>
    <row r="176" spans="1:16">
      <c r="A176" t="s">
        <v>393</v>
      </c>
      <c r="B176" t="s">
        <v>394</v>
      </c>
      <c r="C176">
        <v>34</v>
      </c>
      <c r="D176" t="s">
        <v>18</v>
      </c>
      <c r="E176" s="2">
        <v>45934</v>
      </c>
      <c r="F176" s="2">
        <v>45947</v>
      </c>
      <c r="G176" t="s">
        <v>60</v>
      </c>
      <c r="H176" t="s">
        <v>74</v>
      </c>
      <c r="I176" s="3">
        <v>35611.43</v>
      </c>
      <c r="J176" t="s">
        <v>15</v>
      </c>
      <c r="K176" s="4">
        <v>0.7</v>
      </c>
      <c r="L176" s="3">
        <f t="shared" si="8"/>
        <v>24928.001</v>
      </c>
      <c r="M176" s="3">
        <f t="shared" si="9"/>
        <v>10683.429000000002</v>
      </c>
      <c r="N176">
        <f t="shared" si="10"/>
        <v>13</v>
      </c>
      <c r="O176" s="3">
        <f t="shared" si="11"/>
        <v>35611.43</v>
      </c>
      <c r="P176" t="str" cm="1">
        <f t="array" ref="P176">_xlfn.IFS(C176&lt;18, "Under 18", C176&lt;36, "Btw 18&amp;35", C176&lt;51, "Btw 36&amp;50", C176&lt;66, "Btw 51&amp;65", C176&gt;=66," 66&amp;Above")</f>
        <v>Btw 18&amp;35</v>
      </c>
    </row>
    <row r="177" spans="1:16">
      <c r="A177" t="s">
        <v>395</v>
      </c>
      <c r="B177" t="s">
        <v>396</v>
      </c>
      <c r="C177">
        <v>55</v>
      </c>
      <c r="D177" t="s">
        <v>12</v>
      </c>
      <c r="E177" s="2">
        <v>45798</v>
      </c>
      <c r="F177" s="2">
        <v>45803</v>
      </c>
      <c r="G177" t="s">
        <v>13</v>
      </c>
      <c r="H177" t="s">
        <v>111</v>
      </c>
      <c r="I177" s="3">
        <v>8093.35</v>
      </c>
      <c r="J177" t="s">
        <v>25</v>
      </c>
      <c r="K177" s="4">
        <v>1</v>
      </c>
      <c r="L177" s="3">
        <f t="shared" si="8"/>
        <v>8093.35</v>
      </c>
      <c r="M177" s="3">
        <f t="shared" si="9"/>
        <v>0</v>
      </c>
      <c r="N177">
        <f t="shared" si="10"/>
        <v>5</v>
      </c>
      <c r="O177" s="3">
        <f t="shared" si="11"/>
        <v>0</v>
      </c>
      <c r="P177" t="str" cm="1">
        <f t="array" ref="P177">_xlfn.IFS(C177&lt;18, "Under 18", C177&lt;36, "Btw 18&amp;35", C177&lt;51, "Btw 36&amp;50", C177&lt;66, "Btw 51&amp;65", C177&gt;=66," 66&amp;Above")</f>
        <v>Btw 51&amp;65</v>
      </c>
    </row>
    <row r="178" spans="1:16">
      <c r="A178" t="s">
        <v>397</v>
      </c>
      <c r="B178" t="s">
        <v>398</v>
      </c>
      <c r="C178">
        <v>69</v>
      </c>
      <c r="D178" t="s">
        <v>12</v>
      </c>
      <c r="E178" s="2">
        <v>45333</v>
      </c>
      <c r="F178" s="2">
        <v>45341</v>
      </c>
      <c r="G178" t="s">
        <v>70</v>
      </c>
      <c r="H178" t="s">
        <v>237</v>
      </c>
      <c r="I178" s="3">
        <v>15311.93</v>
      </c>
      <c r="J178" t="s">
        <v>20</v>
      </c>
      <c r="K178" s="4">
        <v>0.6</v>
      </c>
      <c r="L178" s="3">
        <f t="shared" si="8"/>
        <v>9187.1579999999994</v>
      </c>
      <c r="M178" s="3">
        <f t="shared" si="9"/>
        <v>6124.7720000000008</v>
      </c>
      <c r="N178">
        <f t="shared" si="10"/>
        <v>8</v>
      </c>
      <c r="O178" s="3">
        <f t="shared" si="11"/>
        <v>0</v>
      </c>
      <c r="P178" t="str" cm="1">
        <f t="array" ref="P178">_xlfn.IFS(C178&lt;18, "Under 18", C178&lt;36, "Btw 18&amp;35", C178&lt;51, "Btw 36&amp;50", C178&lt;66, "Btw 51&amp;65", C178&gt;=66," 66&amp;Above")</f>
        <v xml:space="preserve"> 66&amp;Above</v>
      </c>
    </row>
    <row r="179" spans="1:16">
      <c r="A179" t="s">
        <v>399</v>
      </c>
      <c r="B179" t="s">
        <v>400</v>
      </c>
      <c r="C179">
        <v>59</v>
      </c>
      <c r="D179" t="s">
        <v>18</v>
      </c>
      <c r="E179" s="2">
        <v>45575</v>
      </c>
      <c r="F179" s="2">
        <v>45578</v>
      </c>
      <c r="G179" t="s">
        <v>23</v>
      </c>
      <c r="H179" t="s">
        <v>24</v>
      </c>
      <c r="I179" s="3">
        <v>4201.93</v>
      </c>
      <c r="J179" t="s">
        <v>15</v>
      </c>
      <c r="K179" s="4">
        <v>0.8</v>
      </c>
      <c r="L179" s="3">
        <f t="shared" si="8"/>
        <v>3361.5440000000003</v>
      </c>
      <c r="M179" s="3">
        <f t="shared" si="9"/>
        <v>840.38599999999985</v>
      </c>
      <c r="N179">
        <f t="shared" si="10"/>
        <v>3</v>
      </c>
      <c r="O179" s="3">
        <f t="shared" si="11"/>
        <v>4201.93</v>
      </c>
      <c r="P179" t="str" cm="1">
        <f t="array" ref="P179">_xlfn.IFS(C179&lt;18, "Under 18", C179&lt;36, "Btw 18&amp;35", C179&lt;51, "Btw 36&amp;50", C179&lt;66, "Btw 51&amp;65", C179&gt;=66," 66&amp;Above")</f>
        <v>Btw 51&amp;65</v>
      </c>
    </row>
    <row r="180" spans="1:16">
      <c r="A180" t="s">
        <v>401</v>
      </c>
      <c r="B180" t="s">
        <v>402</v>
      </c>
      <c r="C180">
        <v>51</v>
      </c>
      <c r="D180" t="s">
        <v>18</v>
      </c>
      <c r="E180" s="2">
        <v>45959</v>
      </c>
      <c r="F180" s="2">
        <v>45968</v>
      </c>
      <c r="G180" t="s">
        <v>60</v>
      </c>
      <c r="H180" t="s">
        <v>142</v>
      </c>
      <c r="I180" s="3">
        <v>12277.27</v>
      </c>
      <c r="J180" t="s">
        <v>15</v>
      </c>
      <c r="K180" s="4">
        <v>0.9</v>
      </c>
      <c r="L180" s="3">
        <f t="shared" si="8"/>
        <v>11049.543000000001</v>
      </c>
      <c r="M180" s="3">
        <f t="shared" si="9"/>
        <v>1227.7269999999999</v>
      </c>
      <c r="N180">
        <f t="shared" si="10"/>
        <v>9</v>
      </c>
      <c r="O180" s="3">
        <f t="shared" si="11"/>
        <v>12277.27</v>
      </c>
      <c r="P180" t="str" cm="1">
        <f t="array" ref="P180">_xlfn.IFS(C180&lt;18, "Under 18", C180&lt;36, "Btw 18&amp;35", C180&lt;51, "Btw 36&amp;50", C180&lt;66, "Btw 51&amp;65", C180&gt;=66," 66&amp;Above")</f>
        <v>Btw 51&amp;65</v>
      </c>
    </row>
    <row r="181" spans="1:16">
      <c r="A181" t="s">
        <v>403</v>
      </c>
      <c r="B181" t="s">
        <v>404</v>
      </c>
      <c r="C181">
        <v>7</v>
      </c>
      <c r="D181" t="s">
        <v>18</v>
      </c>
      <c r="E181" s="2">
        <v>45785</v>
      </c>
      <c r="F181" s="2">
        <v>45789</v>
      </c>
      <c r="G181" t="s">
        <v>49</v>
      </c>
      <c r="H181" t="s">
        <v>123</v>
      </c>
      <c r="I181" s="3">
        <v>4150.83</v>
      </c>
      <c r="J181" t="s">
        <v>20</v>
      </c>
      <c r="K181" s="4">
        <v>0.7</v>
      </c>
      <c r="L181" s="3">
        <f t="shared" si="8"/>
        <v>2905.5809999999997</v>
      </c>
      <c r="M181" s="3">
        <f t="shared" si="9"/>
        <v>1245.2490000000003</v>
      </c>
      <c r="N181">
        <f t="shared" si="10"/>
        <v>4</v>
      </c>
      <c r="O181" s="3">
        <f t="shared" si="11"/>
        <v>0</v>
      </c>
      <c r="P181" t="str" cm="1">
        <f t="array" ref="P181">_xlfn.IFS(C181&lt;18, "Under 18", C181&lt;36, "Btw 18&amp;35", C181&lt;51, "Btw 36&amp;50", C181&lt;66, "Btw 51&amp;65", C181&gt;=66," 66&amp;Above")</f>
        <v>Under 18</v>
      </c>
    </row>
    <row r="182" spans="1:16">
      <c r="A182" t="s">
        <v>405</v>
      </c>
      <c r="B182" t="s">
        <v>406</v>
      </c>
      <c r="C182">
        <v>27</v>
      </c>
      <c r="D182" t="s">
        <v>12</v>
      </c>
      <c r="E182" s="2">
        <v>45300</v>
      </c>
      <c r="F182" s="2">
        <v>45303</v>
      </c>
      <c r="G182" t="s">
        <v>31</v>
      </c>
      <c r="H182" t="s">
        <v>234</v>
      </c>
      <c r="I182" s="3">
        <v>2123.81</v>
      </c>
      <c r="J182" t="s">
        <v>15</v>
      </c>
      <c r="K182" s="4">
        <v>1</v>
      </c>
      <c r="L182" s="3">
        <f t="shared" si="8"/>
        <v>2123.81</v>
      </c>
      <c r="M182" s="3">
        <f t="shared" si="9"/>
        <v>0</v>
      </c>
      <c r="N182">
        <f t="shared" si="10"/>
        <v>3</v>
      </c>
      <c r="O182" s="3">
        <f t="shared" si="11"/>
        <v>2123.81</v>
      </c>
      <c r="P182" t="str" cm="1">
        <f t="array" ref="P182">_xlfn.IFS(C182&lt;18, "Under 18", C182&lt;36, "Btw 18&amp;35", C182&lt;51, "Btw 36&amp;50", C182&lt;66, "Btw 51&amp;65", C182&gt;=66," 66&amp;Above")</f>
        <v>Btw 18&amp;35</v>
      </c>
    </row>
    <row r="183" spans="1:16">
      <c r="A183" t="s">
        <v>407</v>
      </c>
      <c r="B183" t="s">
        <v>408</v>
      </c>
      <c r="C183">
        <v>56</v>
      </c>
      <c r="D183" t="s">
        <v>18</v>
      </c>
      <c r="E183" s="2">
        <v>45678</v>
      </c>
      <c r="F183" s="2">
        <v>45691</v>
      </c>
      <c r="G183" t="s">
        <v>60</v>
      </c>
      <c r="H183" t="s">
        <v>77</v>
      </c>
      <c r="I183" s="3">
        <v>29767.07</v>
      </c>
      <c r="J183" t="s">
        <v>20</v>
      </c>
      <c r="K183" s="4">
        <v>0.8</v>
      </c>
      <c r="L183" s="3">
        <f t="shared" si="8"/>
        <v>23813.656000000003</v>
      </c>
      <c r="M183" s="3">
        <f t="shared" si="9"/>
        <v>5953.4139999999989</v>
      </c>
      <c r="N183">
        <f t="shared" si="10"/>
        <v>13</v>
      </c>
      <c r="O183" s="3">
        <f t="shared" si="11"/>
        <v>0</v>
      </c>
      <c r="P183" t="str" cm="1">
        <f t="array" ref="P183">_xlfn.IFS(C183&lt;18, "Under 18", C183&lt;36, "Btw 18&amp;35", C183&lt;51, "Btw 36&amp;50", C183&lt;66, "Btw 51&amp;65", C183&gt;=66," 66&amp;Above")</f>
        <v>Btw 51&amp;65</v>
      </c>
    </row>
    <row r="184" spans="1:16">
      <c r="A184" t="s">
        <v>409</v>
      </c>
      <c r="B184" t="s">
        <v>410</v>
      </c>
      <c r="C184">
        <v>8</v>
      </c>
      <c r="D184" t="s">
        <v>12</v>
      </c>
      <c r="E184" s="2">
        <v>45825</v>
      </c>
      <c r="F184" s="2">
        <v>45830</v>
      </c>
      <c r="G184" t="s">
        <v>49</v>
      </c>
      <c r="H184" t="s">
        <v>117</v>
      </c>
      <c r="I184" s="3">
        <v>5537.93</v>
      </c>
      <c r="J184" t="s">
        <v>15</v>
      </c>
      <c r="K184" s="4">
        <v>0.9</v>
      </c>
      <c r="L184" s="3">
        <f t="shared" si="8"/>
        <v>4984.1370000000006</v>
      </c>
      <c r="M184" s="3">
        <f t="shared" si="9"/>
        <v>553.79299999999989</v>
      </c>
      <c r="N184">
        <f t="shared" si="10"/>
        <v>5</v>
      </c>
      <c r="O184" s="3">
        <f t="shared" si="11"/>
        <v>5537.93</v>
      </c>
      <c r="P184" t="str" cm="1">
        <f t="array" ref="P184">_xlfn.IFS(C184&lt;18, "Under 18", C184&lt;36, "Btw 18&amp;35", C184&lt;51, "Btw 36&amp;50", C184&lt;66, "Btw 51&amp;65", C184&gt;=66," 66&amp;Above")</f>
        <v>Under 18</v>
      </c>
    </row>
    <row r="185" spans="1:16">
      <c r="A185" t="s">
        <v>411</v>
      </c>
      <c r="B185" t="s">
        <v>412</v>
      </c>
      <c r="C185">
        <v>77</v>
      </c>
      <c r="D185" t="s">
        <v>12</v>
      </c>
      <c r="E185" s="2">
        <v>45891</v>
      </c>
      <c r="F185" s="2">
        <v>45897</v>
      </c>
      <c r="G185" t="s">
        <v>31</v>
      </c>
      <c r="H185" t="s">
        <v>35</v>
      </c>
      <c r="I185" s="3">
        <v>7949.08</v>
      </c>
      <c r="J185" t="s">
        <v>15</v>
      </c>
      <c r="K185" s="4">
        <v>0.6</v>
      </c>
      <c r="L185" s="3">
        <f t="shared" si="8"/>
        <v>4769.4479999999994</v>
      </c>
      <c r="M185" s="3">
        <f t="shared" si="9"/>
        <v>3179.6320000000001</v>
      </c>
      <c r="N185">
        <f t="shared" si="10"/>
        <v>6</v>
      </c>
      <c r="O185" s="3">
        <f t="shared" si="11"/>
        <v>7949.08</v>
      </c>
      <c r="P185" t="str" cm="1">
        <f t="array" ref="P185">_xlfn.IFS(C185&lt;18, "Under 18", C185&lt;36, "Btw 18&amp;35", C185&lt;51, "Btw 36&amp;50", C185&lt;66, "Btw 51&amp;65", C185&gt;=66," 66&amp;Above")</f>
        <v xml:space="preserve"> 66&amp;Above</v>
      </c>
    </row>
    <row r="186" spans="1:16">
      <c r="A186" t="s">
        <v>413</v>
      </c>
      <c r="B186" t="s">
        <v>414</v>
      </c>
      <c r="C186">
        <v>3</v>
      </c>
      <c r="D186" t="s">
        <v>12</v>
      </c>
      <c r="E186" s="2">
        <v>45651</v>
      </c>
      <c r="F186" s="2">
        <v>45655</v>
      </c>
      <c r="G186" t="s">
        <v>49</v>
      </c>
      <c r="H186" t="s">
        <v>123</v>
      </c>
      <c r="I186" s="3">
        <v>6607.88</v>
      </c>
      <c r="J186" t="s">
        <v>15</v>
      </c>
      <c r="K186" s="4">
        <v>0.7</v>
      </c>
      <c r="L186" s="3">
        <f t="shared" si="8"/>
        <v>4625.5159999999996</v>
      </c>
      <c r="M186" s="3">
        <f t="shared" si="9"/>
        <v>1982.3640000000003</v>
      </c>
      <c r="N186">
        <f t="shared" si="10"/>
        <v>4</v>
      </c>
      <c r="O186" s="3">
        <f t="shared" si="11"/>
        <v>6607.88</v>
      </c>
      <c r="P186" t="str" cm="1">
        <f t="array" ref="P186">_xlfn.IFS(C186&lt;18, "Under 18", C186&lt;36, "Btw 18&amp;35", C186&lt;51, "Btw 36&amp;50", C186&lt;66, "Btw 51&amp;65", C186&gt;=66," 66&amp;Above")</f>
        <v>Under 18</v>
      </c>
    </row>
    <row r="187" spans="1:16">
      <c r="A187" t="s">
        <v>415</v>
      </c>
      <c r="B187" t="s">
        <v>416</v>
      </c>
      <c r="C187">
        <v>12</v>
      </c>
      <c r="D187" t="s">
        <v>18</v>
      </c>
      <c r="E187" s="2">
        <v>45548</v>
      </c>
      <c r="F187" s="2">
        <v>45551</v>
      </c>
      <c r="G187" t="s">
        <v>49</v>
      </c>
      <c r="H187" t="s">
        <v>120</v>
      </c>
      <c r="I187" s="3">
        <v>4728.71</v>
      </c>
      <c r="J187" t="s">
        <v>15</v>
      </c>
      <c r="K187" s="4">
        <v>0.5</v>
      </c>
      <c r="L187" s="3">
        <f t="shared" si="8"/>
        <v>2364.355</v>
      </c>
      <c r="M187" s="3">
        <f t="shared" si="9"/>
        <v>2364.355</v>
      </c>
      <c r="N187">
        <f t="shared" si="10"/>
        <v>3</v>
      </c>
      <c r="O187" s="3">
        <f t="shared" si="11"/>
        <v>4728.71</v>
      </c>
      <c r="P187" t="str" cm="1">
        <f t="array" ref="P187">_xlfn.IFS(C187&lt;18, "Under 18", C187&lt;36, "Btw 18&amp;35", C187&lt;51, "Btw 36&amp;50", C187&lt;66, "Btw 51&amp;65", C187&gt;=66," 66&amp;Above")</f>
        <v>Under 18</v>
      </c>
    </row>
    <row r="188" spans="1:16">
      <c r="A188" t="s">
        <v>417</v>
      </c>
      <c r="B188" t="s">
        <v>418</v>
      </c>
      <c r="C188">
        <v>83</v>
      </c>
      <c r="D188" t="s">
        <v>18</v>
      </c>
      <c r="E188" s="2">
        <v>45352</v>
      </c>
      <c r="F188" s="2">
        <v>45360</v>
      </c>
      <c r="G188" t="s">
        <v>13</v>
      </c>
      <c r="H188" t="s">
        <v>19</v>
      </c>
      <c r="I188" s="3">
        <v>15664.73</v>
      </c>
      <c r="J188" t="s">
        <v>15</v>
      </c>
      <c r="K188" s="4">
        <v>0.8</v>
      </c>
      <c r="L188" s="3">
        <f t="shared" si="8"/>
        <v>12531.784</v>
      </c>
      <c r="M188" s="3">
        <f t="shared" si="9"/>
        <v>3132.945999999999</v>
      </c>
      <c r="N188">
        <f t="shared" si="10"/>
        <v>8</v>
      </c>
      <c r="O188" s="3">
        <f t="shared" si="11"/>
        <v>15664.73</v>
      </c>
      <c r="P188" t="str" cm="1">
        <f t="array" ref="P188">_xlfn.IFS(C188&lt;18, "Under 18", C188&lt;36, "Btw 18&amp;35", C188&lt;51, "Btw 36&amp;50", C188&lt;66, "Btw 51&amp;65", C188&gt;=66," 66&amp;Above")</f>
        <v xml:space="preserve"> 66&amp;Above</v>
      </c>
    </row>
    <row r="189" spans="1:16">
      <c r="A189" t="s">
        <v>419</v>
      </c>
      <c r="B189" t="s">
        <v>420</v>
      </c>
      <c r="C189">
        <v>53</v>
      </c>
      <c r="D189" t="s">
        <v>18</v>
      </c>
      <c r="E189" s="2">
        <v>45951</v>
      </c>
      <c r="F189" s="2">
        <v>45955</v>
      </c>
      <c r="G189" t="s">
        <v>31</v>
      </c>
      <c r="H189" t="s">
        <v>234</v>
      </c>
      <c r="I189" s="3">
        <v>2716.52</v>
      </c>
      <c r="J189" t="s">
        <v>25</v>
      </c>
      <c r="K189" s="4">
        <v>0</v>
      </c>
      <c r="L189" s="3">
        <f t="shared" si="8"/>
        <v>0</v>
      </c>
      <c r="M189" s="3">
        <f t="shared" si="9"/>
        <v>2716.52</v>
      </c>
      <c r="N189">
        <f t="shared" si="10"/>
        <v>4</v>
      </c>
      <c r="O189" s="3">
        <f t="shared" si="11"/>
        <v>0</v>
      </c>
      <c r="P189" t="str" cm="1">
        <f t="array" ref="P189">_xlfn.IFS(C189&lt;18, "Under 18", C189&lt;36, "Btw 18&amp;35", C189&lt;51, "Btw 36&amp;50", C189&lt;66, "Btw 51&amp;65", C189&gt;=66," 66&amp;Above")</f>
        <v>Btw 51&amp;65</v>
      </c>
    </row>
    <row r="190" spans="1:16">
      <c r="A190" t="s">
        <v>421</v>
      </c>
      <c r="B190" t="s">
        <v>422</v>
      </c>
      <c r="C190">
        <v>29</v>
      </c>
      <c r="D190" t="s">
        <v>18</v>
      </c>
      <c r="E190" s="2">
        <v>45643</v>
      </c>
      <c r="F190" s="2">
        <v>45644</v>
      </c>
      <c r="G190" t="s">
        <v>31</v>
      </c>
      <c r="H190" t="s">
        <v>114</v>
      </c>
      <c r="I190" s="3">
        <v>716.18</v>
      </c>
      <c r="J190" t="s">
        <v>15</v>
      </c>
      <c r="K190" s="4">
        <v>0.8</v>
      </c>
      <c r="L190" s="3">
        <f t="shared" si="8"/>
        <v>572.94399999999996</v>
      </c>
      <c r="M190" s="3">
        <f t="shared" si="9"/>
        <v>143.23599999999996</v>
      </c>
      <c r="N190">
        <f t="shared" si="10"/>
        <v>1</v>
      </c>
      <c r="O190" s="3">
        <f t="shared" si="11"/>
        <v>716.18</v>
      </c>
      <c r="P190" t="str" cm="1">
        <f t="array" ref="P190">_xlfn.IFS(C190&lt;18, "Under 18", C190&lt;36, "Btw 18&amp;35", C190&lt;51, "Btw 36&amp;50", C190&lt;66, "Btw 51&amp;65", C190&gt;=66," 66&amp;Above")</f>
        <v>Btw 18&amp;35</v>
      </c>
    </row>
    <row r="191" spans="1:16">
      <c r="A191" t="s">
        <v>423</v>
      </c>
      <c r="B191" t="s">
        <v>346</v>
      </c>
      <c r="C191">
        <v>49</v>
      </c>
      <c r="D191" t="s">
        <v>18</v>
      </c>
      <c r="E191" s="2">
        <v>45738</v>
      </c>
      <c r="F191" s="2">
        <v>45741</v>
      </c>
      <c r="G191" t="s">
        <v>70</v>
      </c>
      <c r="H191" t="s">
        <v>157</v>
      </c>
      <c r="I191" s="3">
        <v>3478.78</v>
      </c>
      <c r="J191" t="s">
        <v>15</v>
      </c>
      <c r="K191" s="4">
        <v>0.8</v>
      </c>
      <c r="L191" s="3">
        <f t="shared" si="8"/>
        <v>2783.0240000000003</v>
      </c>
      <c r="M191" s="3">
        <f t="shared" si="9"/>
        <v>695.75599999999986</v>
      </c>
      <c r="N191">
        <f t="shared" si="10"/>
        <v>3</v>
      </c>
      <c r="O191" s="3">
        <f t="shared" si="11"/>
        <v>3478.78</v>
      </c>
      <c r="P191" t="str" cm="1">
        <f t="array" ref="P191">_xlfn.IFS(C191&lt;18, "Under 18", C191&lt;36, "Btw 18&amp;35", C191&lt;51, "Btw 36&amp;50", C191&lt;66, "Btw 51&amp;65", C191&gt;=66," 66&amp;Above")</f>
        <v>Btw 36&amp;50</v>
      </c>
    </row>
    <row r="192" spans="1:16">
      <c r="A192" t="s">
        <v>424</v>
      </c>
      <c r="B192" t="s">
        <v>425</v>
      </c>
      <c r="C192">
        <v>48</v>
      </c>
      <c r="D192" t="s">
        <v>18</v>
      </c>
      <c r="E192" s="2">
        <v>45979</v>
      </c>
      <c r="F192" s="2">
        <v>45985</v>
      </c>
      <c r="G192" t="s">
        <v>31</v>
      </c>
      <c r="H192" t="s">
        <v>53</v>
      </c>
      <c r="I192" s="3">
        <v>3693.12</v>
      </c>
      <c r="J192" t="s">
        <v>20</v>
      </c>
      <c r="K192" s="4">
        <v>1</v>
      </c>
      <c r="L192" s="3">
        <f t="shared" si="8"/>
        <v>3693.12</v>
      </c>
      <c r="M192" s="3">
        <f t="shared" si="9"/>
        <v>0</v>
      </c>
      <c r="N192">
        <f t="shared" si="10"/>
        <v>6</v>
      </c>
      <c r="O192" s="3">
        <f t="shared" si="11"/>
        <v>0</v>
      </c>
      <c r="P192" t="str" cm="1">
        <f t="array" ref="P192">_xlfn.IFS(C192&lt;18, "Under 18", C192&lt;36, "Btw 18&amp;35", C192&lt;51, "Btw 36&amp;50", C192&lt;66, "Btw 51&amp;65", C192&gt;=66," 66&amp;Above")</f>
        <v>Btw 36&amp;50</v>
      </c>
    </row>
    <row r="193" spans="1:16">
      <c r="A193" t="s">
        <v>426</v>
      </c>
      <c r="B193" t="s">
        <v>427</v>
      </c>
      <c r="C193">
        <v>80</v>
      </c>
      <c r="D193" t="s">
        <v>18</v>
      </c>
      <c r="E193" s="2">
        <v>45362</v>
      </c>
      <c r="F193" s="2">
        <v>45363</v>
      </c>
      <c r="G193" t="s">
        <v>31</v>
      </c>
      <c r="H193" t="s">
        <v>114</v>
      </c>
      <c r="I193" s="3">
        <v>1441.21</v>
      </c>
      <c r="J193" t="s">
        <v>15</v>
      </c>
      <c r="K193" s="4">
        <v>0</v>
      </c>
      <c r="L193" s="3">
        <f t="shared" si="8"/>
        <v>0</v>
      </c>
      <c r="M193" s="3">
        <f t="shared" si="9"/>
        <v>1441.21</v>
      </c>
      <c r="N193">
        <f t="shared" si="10"/>
        <v>1</v>
      </c>
      <c r="O193" s="3">
        <f t="shared" si="11"/>
        <v>1441.21</v>
      </c>
      <c r="P193" t="str" cm="1">
        <f t="array" ref="P193">_xlfn.IFS(C193&lt;18, "Under 18", C193&lt;36, "Btw 18&amp;35", C193&lt;51, "Btw 36&amp;50", C193&lt;66, "Btw 51&amp;65", C193&gt;=66," 66&amp;Above")</f>
        <v xml:space="preserve"> 66&amp;Above</v>
      </c>
    </row>
    <row r="194" spans="1:16">
      <c r="A194" t="s">
        <v>428</v>
      </c>
      <c r="B194" t="s">
        <v>429</v>
      </c>
      <c r="C194">
        <v>52</v>
      </c>
      <c r="D194" t="s">
        <v>18</v>
      </c>
      <c r="E194" s="2">
        <v>45639</v>
      </c>
      <c r="F194" s="2">
        <v>45645</v>
      </c>
      <c r="G194" t="s">
        <v>31</v>
      </c>
      <c r="H194" t="s">
        <v>114</v>
      </c>
      <c r="I194" s="3">
        <v>8378.4500000000007</v>
      </c>
      <c r="J194" t="s">
        <v>20</v>
      </c>
      <c r="K194" s="4">
        <v>0.7</v>
      </c>
      <c r="L194" s="3">
        <f t="shared" si="8"/>
        <v>5864.915</v>
      </c>
      <c r="M194" s="3">
        <f t="shared" si="9"/>
        <v>2513.5350000000008</v>
      </c>
      <c r="N194">
        <f t="shared" si="10"/>
        <v>6</v>
      </c>
      <c r="O194" s="3">
        <f t="shared" si="11"/>
        <v>0</v>
      </c>
      <c r="P194" t="str" cm="1">
        <f t="array" ref="P194">_xlfn.IFS(C194&lt;18, "Under 18", C194&lt;36, "Btw 18&amp;35", C194&lt;51, "Btw 36&amp;50", C194&lt;66, "Btw 51&amp;65", C194&gt;=66," 66&amp;Above")</f>
        <v>Btw 51&amp;65</v>
      </c>
    </row>
    <row r="195" spans="1:16">
      <c r="A195" t="s">
        <v>430</v>
      </c>
      <c r="B195" t="s">
        <v>431</v>
      </c>
      <c r="C195">
        <v>77</v>
      </c>
      <c r="D195" t="s">
        <v>18</v>
      </c>
      <c r="E195" s="2">
        <v>45585</v>
      </c>
      <c r="F195" s="2">
        <v>45595</v>
      </c>
      <c r="G195" t="s">
        <v>13</v>
      </c>
      <c r="H195" t="s">
        <v>14</v>
      </c>
      <c r="I195" s="3">
        <v>16501.419999999998</v>
      </c>
      <c r="J195" t="s">
        <v>15</v>
      </c>
      <c r="K195" s="4">
        <v>0.5</v>
      </c>
      <c r="L195" s="3">
        <f t="shared" ref="L195:L258" si="12">I195*K195</f>
        <v>8250.7099999999991</v>
      </c>
      <c r="M195" s="3">
        <f t="shared" ref="M195:M258" si="13">(100%-K195)*I195</f>
        <v>8250.7099999999991</v>
      </c>
      <c r="N195">
        <f t="shared" ref="N195:N258" si="14">_xlfn.DAYS(F195,E195)</f>
        <v>10</v>
      </c>
      <c r="O195" s="3">
        <f t="shared" ref="O195:O258" si="15">IF(J195="Paid", I195, 0)</f>
        <v>16501.419999999998</v>
      </c>
      <c r="P195" t="str" cm="1">
        <f t="array" ref="P195">_xlfn.IFS(C195&lt;18, "Under 18", C195&lt;36, "Btw 18&amp;35", C195&lt;51, "Btw 36&amp;50", C195&lt;66, "Btw 51&amp;65", C195&gt;=66," 66&amp;Above")</f>
        <v xml:space="preserve"> 66&amp;Above</v>
      </c>
    </row>
    <row r="196" spans="1:16">
      <c r="A196" t="s">
        <v>432</v>
      </c>
      <c r="B196" t="s">
        <v>433</v>
      </c>
      <c r="C196">
        <v>53</v>
      </c>
      <c r="D196" t="s">
        <v>18</v>
      </c>
      <c r="E196" s="2">
        <v>45798</v>
      </c>
      <c r="F196" s="2">
        <v>45807</v>
      </c>
      <c r="G196" t="s">
        <v>13</v>
      </c>
      <c r="H196" t="s">
        <v>102</v>
      </c>
      <c r="I196" s="3">
        <v>18430.509999999998</v>
      </c>
      <c r="J196" t="s">
        <v>15</v>
      </c>
      <c r="K196" s="4">
        <v>1</v>
      </c>
      <c r="L196" s="3">
        <f t="shared" si="12"/>
        <v>18430.509999999998</v>
      </c>
      <c r="M196" s="3">
        <f t="shared" si="13"/>
        <v>0</v>
      </c>
      <c r="N196">
        <f t="shared" si="14"/>
        <v>9</v>
      </c>
      <c r="O196" s="3">
        <f t="shared" si="15"/>
        <v>18430.509999999998</v>
      </c>
      <c r="P196" t="str" cm="1">
        <f t="array" ref="P196">_xlfn.IFS(C196&lt;18, "Under 18", C196&lt;36, "Btw 18&amp;35", C196&lt;51, "Btw 36&amp;50", C196&lt;66, "Btw 51&amp;65", C196&gt;=66," 66&amp;Above")</f>
        <v>Btw 51&amp;65</v>
      </c>
    </row>
    <row r="197" spans="1:16">
      <c r="A197" t="s">
        <v>434</v>
      </c>
      <c r="B197" t="s">
        <v>435</v>
      </c>
      <c r="C197">
        <v>42</v>
      </c>
      <c r="D197" t="s">
        <v>12</v>
      </c>
      <c r="E197" s="2">
        <v>45550</v>
      </c>
      <c r="F197" s="2">
        <v>45553</v>
      </c>
      <c r="G197" t="s">
        <v>31</v>
      </c>
      <c r="H197" t="s">
        <v>87</v>
      </c>
      <c r="I197" s="3">
        <v>1567.15</v>
      </c>
      <c r="J197" t="s">
        <v>25</v>
      </c>
      <c r="K197" s="4">
        <v>0.8</v>
      </c>
      <c r="L197" s="3">
        <f t="shared" si="12"/>
        <v>1253.7200000000003</v>
      </c>
      <c r="M197" s="3">
        <f t="shared" si="13"/>
        <v>313.42999999999995</v>
      </c>
      <c r="N197">
        <f t="shared" si="14"/>
        <v>3</v>
      </c>
      <c r="O197" s="3">
        <f t="shared" si="15"/>
        <v>0</v>
      </c>
      <c r="P197" t="str" cm="1">
        <f t="array" ref="P197">_xlfn.IFS(C197&lt;18, "Under 18", C197&lt;36, "Btw 18&amp;35", C197&lt;51, "Btw 36&amp;50", C197&lt;66, "Btw 51&amp;65", C197&gt;=66," 66&amp;Above")</f>
        <v>Btw 36&amp;50</v>
      </c>
    </row>
    <row r="198" spans="1:16">
      <c r="A198" t="s">
        <v>436</v>
      </c>
      <c r="B198" t="s">
        <v>203</v>
      </c>
      <c r="C198">
        <v>61</v>
      </c>
      <c r="D198" t="s">
        <v>18</v>
      </c>
      <c r="E198" s="2">
        <v>45545</v>
      </c>
      <c r="F198" s="2">
        <v>45546</v>
      </c>
      <c r="G198" t="s">
        <v>23</v>
      </c>
      <c r="H198" t="s">
        <v>41</v>
      </c>
      <c r="I198" s="3">
        <v>917.44</v>
      </c>
      <c r="J198" t="s">
        <v>15</v>
      </c>
      <c r="K198" s="4">
        <v>0.8</v>
      </c>
      <c r="L198" s="3">
        <f t="shared" si="12"/>
        <v>733.95200000000011</v>
      </c>
      <c r="M198" s="3">
        <f t="shared" si="13"/>
        <v>183.48799999999997</v>
      </c>
      <c r="N198">
        <f t="shared" si="14"/>
        <v>1</v>
      </c>
      <c r="O198" s="3">
        <f t="shared" si="15"/>
        <v>917.44</v>
      </c>
      <c r="P198" t="str" cm="1">
        <f t="array" ref="P198">_xlfn.IFS(C198&lt;18, "Under 18", C198&lt;36, "Btw 18&amp;35", C198&lt;51, "Btw 36&amp;50", C198&lt;66, "Btw 51&amp;65", C198&gt;=66," 66&amp;Above")</f>
        <v>Btw 51&amp;65</v>
      </c>
    </row>
    <row r="199" spans="1:16">
      <c r="A199" t="s">
        <v>437</v>
      </c>
      <c r="B199" t="s">
        <v>132</v>
      </c>
      <c r="C199">
        <v>81</v>
      </c>
      <c r="D199" t="s">
        <v>18</v>
      </c>
      <c r="E199" s="2">
        <v>45994</v>
      </c>
      <c r="F199" s="2">
        <v>46003</v>
      </c>
      <c r="G199" t="s">
        <v>13</v>
      </c>
      <c r="H199" t="s">
        <v>102</v>
      </c>
      <c r="I199" s="3">
        <v>18345.38</v>
      </c>
      <c r="J199" t="s">
        <v>20</v>
      </c>
      <c r="K199" s="4">
        <v>0.8</v>
      </c>
      <c r="L199" s="3">
        <f t="shared" si="12"/>
        <v>14676.304000000002</v>
      </c>
      <c r="M199" s="3">
        <f t="shared" si="13"/>
        <v>3669.0759999999996</v>
      </c>
      <c r="N199">
        <f t="shared" si="14"/>
        <v>9</v>
      </c>
      <c r="O199" s="3">
        <f t="shared" si="15"/>
        <v>0</v>
      </c>
      <c r="P199" t="str" cm="1">
        <f t="array" ref="P199">_xlfn.IFS(C199&lt;18, "Under 18", C199&lt;36, "Btw 18&amp;35", C199&lt;51, "Btw 36&amp;50", C199&lt;66, "Btw 51&amp;65", C199&gt;=66," 66&amp;Above")</f>
        <v xml:space="preserve"> 66&amp;Above</v>
      </c>
    </row>
    <row r="200" spans="1:16">
      <c r="A200" t="s">
        <v>438</v>
      </c>
      <c r="B200" t="s">
        <v>439</v>
      </c>
      <c r="C200">
        <v>53</v>
      </c>
      <c r="D200" t="s">
        <v>18</v>
      </c>
      <c r="E200" s="2">
        <v>45626</v>
      </c>
      <c r="F200" s="2">
        <v>45635</v>
      </c>
      <c r="G200" t="s">
        <v>70</v>
      </c>
      <c r="H200" t="s">
        <v>71</v>
      </c>
      <c r="I200" s="3">
        <v>19211.240000000002</v>
      </c>
      <c r="J200" t="s">
        <v>15</v>
      </c>
      <c r="K200" s="4">
        <v>0.9</v>
      </c>
      <c r="L200" s="3">
        <f t="shared" si="12"/>
        <v>17290.116000000002</v>
      </c>
      <c r="M200" s="3">
        <f t="shared" si="13"/>
        <v>1921.1239999999998</v>
      </c>
      <c r="N200">
        <f t="shared" si="14"/>
        <v>9</v>
      </c>
      <c r="O200" s="3">
        <f t="shared" si="15"/>
        <v>19211.240000000002</v>
      </c>
      <c r="P200" t="str" cm="1">
        <f t="array" ref="P200">_xlfn.IFS(C200&lt;18, "Under 18", C200&lt;36, "Btw 18&amp;35", C200&lt;51, "Btw 36&amp;50", C200&lt;66, "Btw 51&amp;65", C200&gt;=66," 66&amp;Above")</f>
        <v>Btw 51&amp;65</v>
      </c>
    </row>
    <row r="201" spans="1:16">
      <c r="A201" t="s">
        <v>440</v>
      </c>
      <c r="B201" t="s">
        <v>441</v>
      </c>
      <c r="C201">
        <v>48</v>
      </c>
      <c r="D201" t="s">
        <v>12</v>
      </c>
      <c r="E201" s="2">
        <v>45805</v>
      </c>
      <c r="F201" s="2">
        <v>45809</v>
      </c>
      <c r="G201" t="s">
        <v>13</v>
      </c>
      <c r="H201" t="s">
        <v>19</v>
      </c>
      <c r="I201" s="3">
        <v>10336.58</v>
      </c>
      <c r="J201" t="s">
        <v>15</v>
      </c>
      <c r="K201" s="4">
        <v>1</v>
      </c>
      <c r="L201" s="3">
        <f t="shared" si="12"/>
        <v>10336.58</v>
      </c>
      <c r="M201" s="3">
        <f t="shared" si="13"/>
        <v>0</v>
      </c>
      <c r="N201">
        <f t="shared" si="14"/>
        <v>4</v>
      </c>
      <c r="O201" s="3">
        <f t="shared" si="15"/>
        <v>10336.58</v>
      </c>
      <c r="P201" t="str" cm="1">
        <f t="array" ref="P201">_xlfn.IFS(C201&lt;18, "Under 18", C201&lt;36, "Btw 18&amp;35", C201&lt;51, "Btw 36&amp;50", C201&lt;66, "Btw 51&amp;65", C201&gt;=66," 66&amp;Above")</f>
        <v>Btw 36&amp;50</v>
      </c>
    </row>
    <row r="202" spans="1:16">
      <c r="A202" t="s">
        <v>442</v>
      </c>
      <c r="B202" t="s">
        <v>443</v>
      </c>
      <c r="C202">
        <v>64</v>
      </c>
      <c r="D202" t="s">
        <v>18</v>
      </c>
      <c r="E202" s="2">
        <v>45705</v>
      </c>
      <c r="F202" s="2">
        <v>45712</v>
      </c>
      <c r="G202" t="s">
        <v>31</v>
      </c>
      <c r="H202" t="s">
        <v>234</v>
      </c>
      <c r="I202" s="3">
        <v>4926.12</v>
      </c>
      <c r="J202" t="s">
        <v>20</v>
      </c>
      <c r="K202" s="4">
        <v>0.7</v>
      </c>
      <c r="L202" s="3">
        <f t="shared" si="12"/>
        <v>3448.2839999999997</v>
      </c>
      <c r="M202" s="3">
        <f t="shared" si="13"/>
        <v>1477.8360000000002</v>
      </c>
      <c r="N202">
        <f t="shared" si="14"/>
        <v>7</v>
      </c>
      <c r="O202" s="3">
        <f t="shared" si="15"/>
        <v>0</v>
      </c>
      <c r="P202" t="str" cm="1">
        <f t="array" ref="P202">_xlfn.IFS(C202&lt;18, "Under 18", C202&lt;36, "Btw 18&amp;35", C202&lt;51, "Btw 36&amp;50", C202&lt;66, "Btw 51&amp;65", C202&gt;=66," 66&amp;Above")</f>
        <v>Btw 51&amp;65</v>
      </c>
    </row>
    <row r="203" spans="1:16">
      <c r="A203" t="s">
        <v>444</v>
      </c>
      <c r="B203" t="s">
        <v>445</v>
      </c>
      <c r="C203">
        <v>80</v>
      </c>
      <c r="D203" t="s">
        <v>18</v>
      </c>
      <c r="E203" s="2">
        <v>45491</v>
      </c>
      <c r="F203" s="2">
        <v>45497</v>
      </c>
      <c r="G203" t="s">
        <v>70</v>
      </c>
      <c r="H203" t="s">
        <v>295</v>
      </c>
      <c r="I203" s="3">
        <v>13102.72</v>
      </c>
      <c r="J203" t="s">
        <v>20</v>
      </c>
      <c r="K203" s="4">
        <v>0.5</v>
      </c>
      <c r="L203" s="3">
        <f t="shared" si="12"/>
        <v>6551.36</v>
      </c>
      <c r="M203" s="3">
        <f t="shared" si="13"/>
        <v>6551.36</v>
      </c>
      <c r="N203">
        <f t="shared" si="14"/>
        <v>6</v>
      </c>
      <c r="O203" s="3">
        <f t="shared" si="15"/>
        <v>0</v>
      </c>
      <c r="P203" t="str" cm="1">
        <f t="array" ref="P203">_xlfn.IFS(C203&lt;18, "Under 18", C203&lt;36, "Btw 18&amp;35", C203&lt;51, "Btw 36&amp;50", C203&lt;66, "Btw 51&amp;65", C203&gt;=66," 66&amp;Above")</f>
        <v xml:space="preserve"> 66&amp;Above</v>
      </c>
    </row>
    <row r="204" spans="1:16">
      <c r="A204" t="s">
        <v>446</v>
      </c>
      <c r="B204" t="s">
        <v>447</v>
      </c>
      <c r="C204">
        <v>56</v>
      </c>
      <c r="D204" t="s">
        <v>12</v>
      </c>
      <c r="E204" s="2">
        <v>45355</v>
      </c>
      <c r="F204" s="2">
        <v>45362</v>
      </c>
      <c r="G204" t="s">
        <v>31</v>
      </c>
      <c r="H204" t="s">
        <v>35</v>
      </c>
      <c r="I204" s="3">
        <v>4595.79</v>
      </c>
      <c r="J204" t="s">
        <v>15</v>
      </c>
      <c r="K204" s="4">
        <v>0.8</v>
      </c>
      <c r="L204" s="3">
        <f t="shared" si="12"/>
        <v>3676.6320000000001</v>
      </c>
      <c r="M204" s="3">
        <f t="shared" si="13"/>
        <v>919.15799999999979</v>
      </c>
      <c r="N204">
        <f t="shared" si="14"/>
        <v>7</v>
      </c>
      <c r="O204" s="3">
        <f t="shared" si="15"/>
        <v>4595.79</v>
      </c>
      <c r="P204" t="str" cm="1">
        <f t="array" ref="P204">_xlfn.IFS(C204&lt;18, "Under 18", C204&lt;36, "Btw 18&amp;35", C204&lt;51, "Btw 36&amp;50", C204&lt;66, "Btw 51&amp;65", C204&gt;=66," 66&amp;Above")</f>
        <v>Btw 51&amp;65</v>
      </c>
    </row>
    <row r="205" spans="1:16">
      <c r="A205" t="s">
        <v>448</v>
      </c>
      <c r="B205" t="s">
        <v>449</v>
      </c>
      <c r="C205">
        <v>63</v>
      </c>
      <c r="D205" t="s">
        <v>12</v>
      </c>
      <c r="E205" s="2">
        <v>45625</v>
      </c>
      <c r="F205" s="2">
        <v>45628</v>
      </c>
      <c r="G205" t="s">
        <v>23</v>
      </c>
      <c r="H205" t="s">
        <v>204</v>
      </c>
      <c r="I205" s="3">
        <v>3717.61</v>
      </c>
      <c r="J205" t="s">
        <v>20</v>
      </c>
      <c r="K205" s="4">
        <v>0.9</v>
      </c>
      <c r="L205" s="3">
        <f t="shared" si="12"/>
        <v>3345.8490000000002</v>
      </c>
      <c r="M205" s="3">
        <f t="shared" si="13"/>
        <v>371.76099999999991</v>
      </c>
      <c r="N205">
        <f t="shared" si="14"/>
        <v>3</v>
      </c>
      <c r="O205" s="3">
        <f t="shared" si="15"/>
        <v>0</v>
      </c>
      <c r="P205" t="str" cm="1">
        <f t="array" ref="P205">_xlfn.IFS(C205&lt;18, "Under 18", C205&lt;36, "Btw 18&amp;35", C205&lt;51, "Btw 36&amp;50", C205&lt;66, "Btw 51&amp;65", C205&gt;=66," 66&amp;Above")</f>
        <v>Btw 51&amp;65</v>
      </c>
    </row>
    <row r="206" spans="1:16">
      <c r="A206" t="s">
        <v>450</v>
      </c>
      <c r="B206" t="s">
        <v>451</v>
      </c>
      <c r="C206">
        <v>43</v>
      </c>
      <c r="D206" t="s">
        <v>12</v>
      </c>
      <c r="E206" s="2">
        <v>46012</v>
      </c>
      <c r="F206" s="2">
        <v>46025</v>
      </c>
      <c r="G206" t="s">
        <v>60</v>
      </c>
      <c r="H206" t="s">
        <v>97</v>
      </c>
      <c r="I206" s="3">
        <v>33810.44</v>
      </c>
      <c r="J206" t="s">
        <v>15</v>
      </c>
      <c r="K206" s="4">
        <v>0.9</v>
      </c>
      <c r="L206" s="3">
        <f t="shared" si="12"/>
        <v>30429.396000000004</v>
      </c>
      <c r="M206" s="3">
        <f t="shared" si="13"/>
        <v>3381.0439999999994</v>
      </c>
      <c r="N206">
        <f t="shared" si="14"/>
        <v>13</v>
      </c>
      <c r="O206" s="3">
        <f t="shared" si="15"/>
        <v>33810.44</v>
      </c>
      <c r="P206" t="str" cm="1">
        <f t="array" ref="P206">_xlfn.IFS(C206&lt;18, "Under 18", C206&lt;36, "Btw 18&amp;35", C206&lt;51, "Btw 36&amp;50", C206&lt;66, "Btw 51&amp;65", C206&gt;=66," 66&amp;Above")</f>
        <v>Btw 36&amp;50</v>
      </c>
    </row>
    <row r="207" spans="1:16">
      <c r="A207" t="s">
        <v>452</v>
      </c>
      <c r="B207" t="s">
        <v>354</v>
      </c>
      <c r="C207">
        <v>8</v>
      </c>
      <c r="D207" t="s">
        <v>18</v>
      </c>
      <c r="E207" s="2">
        <v>45660</v>
      </c>
      <c r="F207" s="2">
        <v>45664</v>
      </c>
      <c r="G207" t="s">
        <v>49</v>
      </c>
      <c r="H207" t="s">
        <v>117</v>
      </c>
      <c r="I207" s="3">
        <v>4115.83</v>
      </c>
      <c r="J207" t="s">
        <v>15</v>
      </c>
      <c r="K207" s="4">
        <v>0.5</v>
      </c>
      <c r="L207" s="3">
        <f t="shared" si="12"/>
        <v>2057.915</v>
      </c>
      <c r="M207" s="3">
        <f t="shared" si="13"/>
        <v>2057.915</v>
      </c>
      <c r="N207">
        <f t="shared" si="14"/>
        <v>4</v>
      </c>
      <c r="O207" s="3">
        <f t="shared" si="15"/>
        <v>4115.83</v>
      </c>
      <c r="P207" t="str" cm="1">
        <f t="array" ref="P207">_xlfn.IFS(C207&lt;18, "Under 18", C207&lt;36, "Btw 18&amp;35", C207&lt;51, "Btw 36&amp;50", C207&lt;66, "Btw 51&amp;65", C207&gt;=66," 66&amp;Above")</f>
        <v>Under 18</v>
      </c>
    </row>
    <row r="208" spans="1:16">
      <c r="A208" t="s">
        <v>453</v>
      </c>
      <c r="B208" t="s">
        <v>454</v>
      </c>
      <c r="C208">
        <v>56</v>
      </c>
      <c r="D208" t="s">
        <v>18</v>
      </c>
      <c r="E208" s="2">
        <v>45748</v>
      </c>
      <c r="F208" s="2">
        <v>45754</v>
      </c>
      <c r="G208" t="s">
        <v>31</v>
      </c>
      <c r="H208" t="s">
        <v>35</v>
      </c>
      <c r="I208" s="3">
        <v>8245.4599999999991</v>
      </c>
      <c r="J208" t="s">
        <v>25</v>
      </c>
      <c r="K208" s="4">
        <v>0.5</v>
      </c>
      <c r="L208" s="3">
        <f t="shared" si="12"/>
        <v>4122.7299999999996</v>
      </c>
      <c r="M208" s="3">
        <f t="shared" si="13"/>
        <v>4122.7299999999996</v>
      </c>
      <c r="N208">
        <f t="shared" si="14"/>
        <v>6</v>
      </c>
      <c r="O208" s="3">
        <f t="shared" si="15"/>
        <v>0</v>
      </c>
      <c r="P208" t="str" cm="1">
        <f t="array" ref="P208">_xlfn.IFS(C208&lt;18, "Under 18", C208&lt;36, "Btw 18&amp;35", C208&lt;51, "Btw 36&amp;50", C208&lt;66, "Btw 51&amp;65", C208&gt;=66," 66&amp;Above")</f>
        <v>Btw 51&amp;65</v>
      </c>
    </row>
    <row r="209" spans="1:16">
      <c r="A209" t="s">
        <v>455</v>
      </c>
      <c r="B209" t="s">
        <v>456</v>
      </c>
      <c r="C209">
        <v>11</v>
      </c>
      <c r="D209" t="s">
        <v>12</v>
      </c>
      <c r="E209" s="2">
        <v>45704</v>
      </c>
      <c r="F209" s="2">
        <v>45709</v>
      </c>
      <c r="G209" t="s">
        <v>49</v>
      </c>
      <c r="H209" t="s">
        <v>50</v>
      </c>
      <c r="I209" s="3">
        <v>7654.55</v>
      </c>
      <c r="J209" t="s">
        <v>15</v>
      </c>
      <c r="K209" s="4">
        <v>1</v>
      </c>
      <c r="L209" s="3">
        <f t="shared" si="12"/>
        <v>7654.55</v>
      </c>
      <c r="M209" s="3">
        <f t="shared" si="13"/>
        <v>0</v>
      </c>
      <c r="N209">
        <f t="shared" si="14"/>
        <v>5</v>
      </c>
      <c r="O209" s="3">
        <f t="shared" si="15"/>
        <v>7654.55</v>
      </c>
      <c r="P209" t="str" cm="1">
        <f t="array" ref="P209">_xlfn.IFS(C209&lt;18, "Under 18", C209&lt;36, "Btw 18&amp;35", C209&lt;51, "Btw 36&amp;50", C209&lt;66, "Btw 51&amp;65", C209&gt;=66," 66&amp;Above")</f>
        <v>Under 18</v>
      </c>
    </row>
    <row r="210" spans="1:16">
      <c r="A210" t="s">
        <v>457</v>
      </c>
      <c r="B210" t="s">
        <v>458</v>
      </c>
      <c r="C210">
        <v>52</v>
      </c>
      <c r="D210" t="s">
        <v>12</v>
      </c>
      <c r="E210" s="2">
        <v>45706</v>
      </c>
      <c r="F210" s="2">
        <v>45710</v>
      </c>
      <c r="G210" t="s">
        <v>70</v>
      </c>
      <c r="H210" t="s">
        <v>157</v>
      </c>
      <c r="I210" s="3">
        <v>7167.44</v>
      </c>
      <c r="J210" t="s">
        <v>15</v>
      </c>
      <c r="K210" s="4">
        <v>0.8</v>
      </c>
      <c r="L210" s="3">
        <f t="shared" si="12"/>
        <v>5733.9520000000002</v>
      </c>
      <c r="M210" s="3">
        <f t="shared" si="13"/>
        <v>1433.4879999999996</v>
      </c>
      <c r="N210">
        <f t="shared" si="14"/>
        <v>4</v>
      </c>
      <c r="O210" s="3">
        <f t="shared" si="15"/>
        <v>7167.44</v>
      </c>
      <c r="P210" t="str" cm="1">
        <f t="array" ref="P210">_xlfn.IFS(C210&lt;18, "Under 18", C210&lt;36, "Btw 18&amp;35", C210&lt;51, "Btw 36&amp;50", C210&lt;66, "Btw 51&amp;65", C210&gt;=66," 66&amp;Above")</f>
        <v>Btw 51&amp;65</v>
      </c>
    </row>
    <row r="211" spans="1:16">
      <c r="A211" t="s">
        <v>459</v>
      </c>
      <c r="B211" t="s">
        <v>460</v>
      </c>
      <c r="C211">
        <v>53</v>
      </c>
      <c r="D211" t="s">
        <v>18</v>
      </c>
      <c r="E211" s="2">
        <v>45809</v>
      </c>
      <c r="F211" s="2">
        <v>45811</v>
      </c>
      <c r="G211" t="s">
        <v>23</v>
      </c>
      <c r="H211" t="s">
        <v>24</v>
      </c>
      <c r="I211" s="3">
        <v>2556.12</v>
      </c>
      <c r="J211" t="s">
        <v>15</v>
      </c>
      <c r="K211" s="4">
        <v>0.8</v>
      </c>
      <c r="L211" s="3">
        <f t="shared" si="12"/>
        <v>2044.896</v>
      </c>
      <c r="M211" s="3">
        <f t="shared" si="13"/>
        <v>511.22399999999988</v>
      </c>
      <c r="N211">
        <f t="shared" si="14"/>
        <v>2</v>
      </c>
      <c r="O211" s="3">
        <f t="shared" si="15"/>
        <v>2556.12</v>
      </c>
      <c r="P211" t="str" cm="1">
        <f t="array" ref="P211">_xlfn.IFS(C211&lt;18, "Under 18", C211&lt;36, "Btw 18&amp;35", C211&lt;51, "Btw 36&amp;50", C211&lt;66, "Btw 51&amp;65", C211&gt;=66," 66&amp;Above")</f>
        <v>Btw 51&amp;65</v>
      </c>
    </row>
    <row r="212" spans="1:16">
      <c r="A212" t="s">
        <v>461</v>
      </c>
      <c r="B212" t="s">
        <v>396</v>
      </c>
      <c r="C212">
        <v>3</v>
      </c>
      <c r="D212" t="s">
        <v>12</v>
      </c>
      <c r="E212" s="2">
        <v>45509</v>
      </c>
      <c r="F212" s="2">
        <v>45512</v>
      </c>
      <c r="G212" t="s">
        <v>49</v>
      </c>
      <c r="H212" t="s">
        <v>123</v>
      </c>
      <c r="I212" s="3">
        <v>3139.43</v>
      </c>
      <c r="J212" t="s">
        <v>15</v>
      </c>
      <c r="K212" s="4">
        <v>0.8</v>
      </c>
      <c r="L212" s="3">
        <f t="shared" si="12"/>
        <v>2511.5439999999999</v>
      </c>
      <c r="M212" s="3">
        <f t="shared" si="13"/>
        <v>627.88599999999985</v>
      </c>
      <c r="N212">
        <f t="shared" si="14"/>
        <v>3</v>
      </c>
      <c r="O212" s="3">
        <f t="shared" si="15"/>
        <v>3139.43</v>
      </c>
      <c r="P212" t="str" cm="1">
        <f t="array" ref="P212">_xlfn.IFS(C212&lt;18, "Under 18", C212&lt;36, "Btw 18&amp;35", C212&lt;51, "Btw 36&amp;50", C212&lt;66, "Btw 51&amp;65", C212&gt;=66," 66&amp;Above")</f>
        <v>Under 18</v>
      </c>
    </row>
    <row r="213" spans="1:16">
      <c r="A213" t="s">
        <v>462</v>
      </c>
      <c r="B213" t="s">
        <v>463</v>
      </c>
      <c r="C213">
        <v>84</v>
      </c>
      <c r="D213" t="s">
        <v>12</v>
      </c>
      <c r="E213" s="2">
        <v>45731</v>
      </c>
      <c r="F213" s="2">
        <v>45732</v>
      </c>
      <c r="G213" t="s">
        <v>23</v>
      </c>
      <c r="H213" t="s">
        <v>24</v>
      </c>
      <c r="I213" s="3">
        <v>1893.98</v>
      </c>
      <c r="J213" t="s">
        <v>15</v>
      </c>
      <c r="K213" s="4">
        <v>0.9</v>
      </c>
      <c r="L213" s="3">
        <f t="shared" si="12"/>
        <v>1704.5820000000001</v>
      </c>
      <c r="M213" s="3">
        <f t="shared" si="13"/>
        <v>189.39799999999997</v>
      </c>
      <c r="N213">
        <f t="shared" si="14"/>
        <v>1</v>
      </c>
      <c r="O213" s="3">
        <f t="shared" si="15"/>
        <v>1893.98</v>
      </c>
      <c r="P213" t="str" cm="1">
        <f t="array" ref="P213">_xlfn.IFS(C213&lt;18, "Under 18", C213&lt;36, "Btw 18&amp;35", C213&lt;51, "Btw 36&amp;50", C213&lt;66, "Btw 51&amp;65", C213&gt;=66," 66&amp;Above")</f>
        <v xml:space="preserve"> 66&amp;Above</v>
      </c>
    </row>
    <row r="214" spans="1:16">
      <c r="A214" t="s">
        <v>464</v>
      </c>
      <c r="B214" t="s">
        <v>408</v>
      </c>
      <c r="C214">
        <v>32</v>
      </c>
      <c r="D214" t="s">
        <v>18</v>
      </c>
      <c r="E214" s="2">
        <v>45834</v>
      </c>
      <c r="F214" s="2">
        <v>45840</v>
      </c>
      <c r="G214" t="s">
        <v>70</v>
      </c>
      <c r="H214" t="s">
        <v>157</v>
      </c>
      <c r="I214" s="3">
        <v>11663.48</v>
      </c>
      <c r="J214" t="s">
        <v>20</v>
      </c>
      <c r="K214" s="4">
        <v>0</v>
      </c>
      <c r="L214" s="3">
        <f t="shared" si="12"/>
        <v>0</v>
      </c>
      <c r="M214" s="3">
        <f t="shared" si="13"/>
        <v>11663.48</v>
      </c>
      <c r="N214">
        <f t="shared" si="14"/>
        <v>6</v>
      </c>
      <c r="O214" s="3">
        <f t="shared" si="15"/>
        <v>0</v>
      </c>
      <c r="P214" t="str" cm="1">
        <f t="array" ref="P214">_xlfn.IFS(C214&lt;18, "Under 18", C214&lt;36, "Btw 18&amp;35", C214&lt;51, "Btw 36&amp;50", C214&lt;66, "Btw 51&amp;65", C214&gt;=66," 66&amp;Above")</f>
        <v>Btw 18&amp;35</v>
      </c>
    </row>
    <row r="215" spans="1:16">
      <c r="A215" t="s">
        <v>465</v>
      </c>
      <c r="B215" t="s">
        <v>466</v>
      </c>
      <c r="C215">
        <v>39</v>
      </c>
      <c r="D215" t="s">
        <v>18</v>
      </c>
      <c r="E215" s="2">
        <v>45541</v>
      </c>
      <c r="F215" s="2">
        <v>45544</v>
      </c>
      <c r="G215" t="s">
        <v>31</v>
      </c>
      <c r="H215" t="s">
        <v>114</v>
      </c>
      <c r="I215" s="3">
        <v>1596.88</v>
      </c>
      <c r="J215" t="s">
        <v>25</v>
      </c>
      <c r="K215" s="4">
        <v>0.5</v>
      </c>
      <c r="L215" s="3">
        <f t="shared" si="12"/>
        <v>798.44</v>
      </c>
      <c r="M215" s="3">
        <f t="shared" si="13"/>
        <v>798.44</v>
      </c>
      <c r="N215">
        <f t="shared" si="14"/>
        <v>3</v>
      </c>
      <c r="O215" s="3">
        <f t="shared" si="15"/>
        <v>0</v>
      </c>
      <c r="P215" t="str" cm="1">
        <f t="array" ref="P215">_xlfn.IFS(C215&lt;18, "Under 18", C215&lt;36, "Btw 18&amp;35", C215&lt;51, "Btw 36&amp;50", C215&lt;66, "Btw 51&amp;65", C215&gt;=66," 66&amp;Above")</f>
        <v>Btw 36&amp;50</v>
      </c>
    </row>
    <row r="216" spans="1:16">
      <c r="A216" t="s">
        <v>467</v>
      </c>
      <c r="B216" t="s">
        <v>468</v>
      </c>
      <c r="C216">
        <v>49</v>
      </c>
      <c r="D216" t="s">
        <v>18</v>
      </c>
      <c r="E216" s="2">
        <v>45508</v>
      </c>
      <c r="F216" s="2">
        <v>45513</v>
      </c>
      <c r="G216" t="s">
        <v>31</v>
      </c>
      <c r="H216" t="s">
        <v>44</v>
      </c>
      <c r="I216" s="3">
        <v>4111.79</v>
      </c>
      <c r="J216" t="s">
        <v>15</v>
      </c>
      <c r="K216" s="4">
        <v>0.8</v>
      </c>
      <c r="L216" s="3">
        <f t="shared" si="12"/>
        <v>3289.4320000000002</v>
      </c>
      <c r="M216" s="3">
        <f t="shared" si="13"/>
        <v>822.35799999999983</v>
      </c>
      <c r="N216">
        <f t="shared" si="14"/>
        <v>5</v>
      </c>
      <c r="O216" s="3">
        <f t="shared" si="15"/>
        <v>4111.79</v>
      </c>
      <c r="P216" t="str" cm="1">
        <f t="array" ref="P216">_xlfn.IFS(C216&lt;18, "Under 18", C216&lt;36, "Btw 18&amp;35", C216&lt;51, "Btw 36&amp;50", C216&lt;66, "Btw 51&amp;65", C216&gt;=66," 66&amp;Above")</f>
        <v>Btw 36&amp;50</v>
      </c>
    </row>
    <row r="217" spans="1:16">
      <c r="A217" t="s">
        <v>469</v>
      </c>
      <c r="B217" t="s">
        <v>470</v>
      </c>
      <c r="C217">
        <v>28</v>
      </c>
      <c r="D217" t="s">
        <v>12</v>
      </c>
      <c r="E217" s="2">
        <v>45375</v>
      </c>
      <c r="F217" s="2">
        <v>45378</v>
      </c>
      <c r="G217" t="s">
        <v>23</v>
      </c>
      <c r="H217" t="s">
        <v>24</v>
      </c>
      <c r="I217" s="3">
        <v>6606.32</v>
      </c>
      <c r="J217" t="s">
        <v>15</v>
      </c>
      <c r="K217" s="4">
        <v>0.8</v>
      </c>
      <c r="L217" s="3">
        <f t="shared" si="12"/>
        <v>5285.0560000000005</v>
      </c>
      <c r="M217" s="3">
        <f t="shared" si="13"/>
        <v>1321.2639999999997</v>
      </c>
      <c r="N217">
        <f t="shared" si="14"/>
        <v>3</v>
      </c>
      <c r="O217" s="3">
        <f t="shared" si="15"/>
        <v>6606.32</v>
      </c>
      <c r="P217" t="str" cm="1">
        <f t="array" ref="P217">_xlfn.IFS(C217&lt;18, "Under 18", C217&lt;36, "Btw 18&amp;35", C217&lt;51, "Btw 36&amp;50", C217&lt;66, "Btw 51&amp;65", C217&gt;=66," 66&amp;Above")</f>
        <v>Btw 18&amp;35</v>
      </c>
    </row>
    <row r="218" spans="1:16">
      <c r="A218" t="s">
        <v>471</v>
      </c>
      <c r="B218" t="s">
        <v>472</v>
      </c>
      <c r="C218">
        <v>53</v>
      </c>
      <c r="D218" t="s">
        <v>18</v>
      </c>
      <c r="E218" s="2">
        <v>45541</v>
      </c>
      <c r="F218" s="2">
        <v>45553</v>
      </c>
      <c r="G218" t="s">
        <v>70</v>
      </c>
      <c r="H218" t="s">
        <v>295</v>
      </c>
      <c r="I218" s="3">
        <v>31197</v>
      </c>
      <c r="J218" t="s">
        <v>20</v>
      </c>
      <c r="K218" s="4">
        <v>0.8</v>
      </c>
      <c r="L218" s="3">
        <f t="shared" si="12"/>
        <v>24957.600000000002</v>
      </c>
      <c r="M218" s="3">
        <f t="shared" si="13"/>
        <v>6239.3999999999987</v>
      </c>
      <c r="N218">
        <f t="shared" si="14"/>
        <v>12</v>
      </c>
      <c r="O218" s="3">
        <f t="shared" si="15"/>
        <v>0</v>
      </c>
      <c r="P218" t="str" cm="1">
        <f t="array" ref="P218">_xlfn.IFS(C218&lt;18, "Under 18", C218&lt;36, "Btw 18&amp;35", C218&lt;51, "Btw 36&amp;50", C218&lt;66, "Btw 51&amp;65", C218&gt;=66," 66&amp;Above")</f>
        <v>Btw 51&amp;65</v>
      </c>
    </row>
    <row r="219" spans="1:16">
      <c r="A219" t="s">
        <v>473</v>
      </c>
      <c r="B219" t="s">
        <v>474</v>
      </c>
      <c r="C219">
        <v>46</v>
      </c>
      <c r="D219" t="s">
        <v>12</v>
      </c>
      <c r="E219" s="2">
        <v>45658</v>
      </c>
      <c r="F219" s="2">
        <v>45668</v>
      </c>
      <c r="G219" t="s">
        <v>13</v>
      </c>
      <c r="H219" t="s">
        <v>19</v>
      </c>
      <c r="I219" s="3">
        <v>23891.3</v>
      </c>
      <c r="J219" t="s">
        <v>15</v>
      </c>
      <c r="K219" s="4">
        <v>0.9</v>
      </c>
      <c r="L219" s="3">
        <f t="shared" si="12"/>
        <v>21502.17</v>
      </c>
      <c r="M219" s="3">
        <f t="shared" si="13"/>
        <v>2389.1299999999992</v>
      </c>
      <c r="N219">
        <f t="shared" si="14"/>
        <v>10</v>
      </c>
      <c r="O219" s="3">
        <f t="shared" si="15"/>
        <v>23891.3</v>
      </c>
      <c r="P219" t="str" cm="1">
        <f t="array" ref="P219">_xlfn.IFS(C219&lt;18, "Under 18", C219&lt;36, "Btw 18&amp;35", C219&lt;51, "Btw 36&amp;50", C219&lt;66, "Btw 51&amp;65", C219&gt;=66," 66&amp;Above")</f>
        <v>Btw 36&amp;50</v>
      </c>
    </row>
    <row r="220" spans="1:16">
      <c r="A220" t="s">
        <v>475</v>
      </c>
      <c r="B220" t="s">
        <v>476</v>
      </c>
      <c r="C220">
        <v>66</v>
      </c>
      <c r="D220" t="s">
        <v>12</v>
      </c>
      <c r="E220" s="2">
        <v>45978</v>
      </c>
      <c r="F220" s="2">
        <v>45988</v>
      </c>
      <c r="G220" t="s">
        <v>13</v>
      </c>
      <c r="H220" t="s">
        <v>111</v>
      </c>
      <c r="I220" s="3">
        <v>18293.13</v>
      </c>
      <c r="J220" t="s">
        <v>25</v>
      </c>
      <c r="K220" s="4">
        <v>0.6</v>
      </c>
      <c r="L220" s="3">
        <f t="shared" si="12"/>
        <v>10975.878000000001</v>
      </c>
      <c r="M220" s="3">
        <f t="shared" si="13"/>
        <v>7317.2520000000004</v>
      </c>
      <c r="N220">
        <f t="shared" si="14"/>
        <v>10</v>
      </c>
      <c r="O220" s="3">
        <f t="shared" si="15"/>
        <v>0</v>
      </c>
      <c r="P220" t="str" cm="1">
        <f t="array" ref="P220">_xlfn.IFS(C220&lt;18, "Under 18", C220&lt;36, "Btw 18&amp;35", C220&lt;51, "Btw 36&amp;50", C220&lt;66, "Btw 51&amp;65", C220&gt;=66," 66&amp;Above")</f>
        <v xml:space="preserve"> 66&amp;Above</v>
      </c>
    </row>
    <row r="221" spans="1:16">
      <c r="A221" t="s">
        <v>477</v>
      </c>
      <c r="B221" t="s">
        <v>478</v>
      </c>
      <c r="C221">
        <v>28</v>
      </c>
      <c r="D221" t="s">
        <v>18</v>
      </c>
      <c r="E221" s="2">
        <v>45524</v>
      </c>
      <c r="F221" s="2">
        <v>45527</v>
      </c>
      <c r="G221" t="s">
        <v>23</v>
      </c>
      <c r="H221" t="s">
        <v>204</v>
      </c>
      <c r="I221" s="3">
        <v>7364.68</v>
      </c>
      <c r="J221" t="s">
        <v>20</v>
      </c>
      <c r="K221" s="4">
        <v>0.7</v>
      </c>
      <c r="L221" s="3">
        <f t="shared" si="12"/>
        <v>5155.2759999999998</v>
      </c>
      <c r="M221" s="3">
        <f t="shared" si="13"/>
        <v>2209.4040000000005</v>
      </c>
      <c r="N221">
        <f t="shared" si="14"/>
        <v>3</v>
      </c>
      <c r="O221" s="3">
        <f t="shared" si="15"/>
        <v>0</v>
      </c>
      <c r="P221" t="str" cm="1">
        <f t="array" ref="P221">_xlfn.IFS(C221&lt;18, "Under 18", C221&lt;36, "Btw 18&amp;35", C221&lt;51, "Btw 36&amp;50", C221&lt;66, "Btw 51&amp;65", C221&gt;=66," 66&amp;Above")</f>
        <v>Btw 18&amp;35</v>
      </c>
    </row>
    <row r="222" spans="1:16">
      <c r="A222" t="s">
        <v>479</v>
      </c>
      <c r="B222" t="s">
        <v>480</v>
      </c>
      <c r="C222">
        <v>3</v>
      </c>
      <c r="D222" t="s">
        <v>18</v>
      </c>
      <c r="E222" s="2">
        <v>45469</v>
      </c>
      <c r="F222" s="2">
        <v>45471</v>
      </c>
      <c r="G222" t="s">
        <v>49</v>
      </c>
      <c r="H222" t="s">
        <v>50</v>
      </c>
      <c r="I222" s="3">
        <v>2403.02</v>
      </c>
      <c r="J222" t="s">
        <v>15</v>
      </c>
      <c r="K222" s="4">
        <v>0.8</v>
      </c>
      <c r="L222" s="3">
        <f t="shared" si="12"/>
        <v>1922.4160000000002</v>
      </c>
      <c r="M222" s="3">
        <f t="shared" si="13"/>
        <v>480.60399999999987</v>
      </c>
      <c r="N222">
        <f t="shared" si="14"/>
        <v>2</v>
      </c>
      <c r="O222" s="3">
        <f t="shared" si="15"/>
        <v>2403.02</v>
      </c>
      <c r="P222" t="str" cm="1">
        <f t="array" ref="P222">_xlfn.IFS(C222&lt;18, "Under 18", C222&lt;36, "Btw 18&amp;35", C222&lt;51, "Btw 36&amp;50", C222&lt;66, "Btw 51&amp;65", C222&gt;=66," 66&amp;Above")</f>
        <v>Under 18</v>
      </c>
    </row>
    <row r="223" spans="1:16">
      <c r="A223" t="s">
        <v>481</v>
      </c>
      <c r="B223" t="s">
        <v>482</v>
      </c>
      <c r="C223">
        <v>68</v>
      </c>
      <c r="D223" t="s">
        <v>12</v>
      </c>
      <c r="E223" s="2">
        <v>45990</v>
      </c>
      <c r="F223" s="2">
        <v>46000</v>
      </c>
      <c r="G223" t="s">
        <v>70</v>
      </c>
      <c r="H223" t="s">
        <v>94</v>
      </c>
      <c r="I223" s="3">
        <v>22054.65</v>
      </c>
      <c r="J223" t="s">
        <v>20</v>
      </c>
      <c r="K223" s="4">
        <v>0.8</v>
      </c>
      <c r="L223" s="3">
        <f t="shared" si="12"/>
        <v>17643.72</v>
      </c>
      <c r="M223" s="3">
        <f t="shared" si="13"/>
        <v>4410.9299999999994</v>
      </c>
      <c r="N223">
        <f t="shared" si="14"/>
        <v>10</v>
      </c>
      <c r="O223" s="3">
        <f t="shared" si="15"/>
        <v>0</v>
      </c>
      <c r="P223" t="str" cm="1">
        <f t="array" ref="P223">_xlfn.IFS(C223&lt;18, "Under 18", C223&lt;36, "Btw 18&amp;35", C223&lt;51, "Btw 36&amp;50", C223&lt;66, "Btw 51&amp;65", C223&gt;=66," 66&amp;Above")</f>
        <v xml:space="preserve"> 66&amp;Above</v>
      </c>
    </row>
    <row r="224" spans="1:16">
      <c r="A224" t="s">
        <v>483</v>
      </c>
      <c r="B224" t="s">
        <v>484</v>
      </c>
      <c r="C224">
        <v>40</v>
      </c>
      <c r="D224" t="s">
        <v>12</v>
      </c>
      <c r="E224" s="2">
        <v>46013</v>
      </c>
      <c r="F224" s="2">
        <v>46018</v>
      </c>
      <c r="G224" t="s">
        <v>31</v>
      </c>
      <c r="H224" t="s">
        <v>44</v>
      </c>
      <c r="I224" s="3">
        <v>6331.28</v>
      </c>
      <c r="J224" t="s">
        <v>25</v>
      </c>
      <c r="K224" s="4">
        <v>0.8</v>
      </c>
      <c r="L224" s="3">
        <f t="shared" si="12"/>
        <v>5065.0240000000003</v>
      </c>
      <c r="M224" s="3">
        <f t="shared" si="13"/>
        <v>1266.2559999999996</v>
      </c>
      <c r="N224">
        <f t="shared" si="14"/>
        <v>5</v>
      </c>
      <c r="O224" s="3">
        <f t="shared" si="15"/>
        <v>0</v>
      </c>
      <c r="P224" t="str" cm="1">
        <f t="array" ref="P224">_xlfn.IFS(C224&lt;18, "Under 18", C224&lt;36, "Btw 18&amp;35", C224&lt;51, "Btw 36&amp;50", C224&lt;66, "Btw 51&amp;65", C224&gt;=66," 66&amp;Above")</f>
        <v>Btw 36&amp;50</v>
      </c>
    </row>
    <row r="225" spans="1:16">
      <c r="A225" t="s">
        <v>485</v>
      </c>
      <c r="B225" t="s">
        <v>486</v>
      </c>
      <c r="C225">
        <v>63</v>
      </c>
      <c r="D225" t="s">
        <v>12</v>
      </c>
      <c r="E225" s="2">
        <v>45574</v>
      </c>
      <c r="F225" s="2">
        <v>45584</v>
      </c>
      <c r="G225" t="s">
        <v>13</v>
      </c>
      <c r="H225" t="s">
        <v>165</v>
      </c>
      <c r="I225" s="3">
        <v>27345.03</v>
      </c>
      <c r="J225" t="s">
        <v>20</v>
      </c>
      <c r="K225" s="4">
        <v>1</v>
      </c>
      <c r="L225" s="3">
        <f t="shared" si="12"/>
        <v>27345.03</v>
      </c>
      <c r="M225" s="3">
        <f t="shared" si="13"/>
        <v>0</v>
      </c>
      <c r="N225">
        <f t="shared" si="14"/>
        <v>10</v>
      </c>
      <c r="O225" s="3">
        <f t="shared" si="15"/>
        <v>0</v>
      </c>
      <c r="P225" t="str" cm="1">
        <f t="array" ref="P225">_xlfn.IFS(C225&lt;18, "Under 18", C225&lt;36, "Btw 18&amp;35", C225&lt;51, "Btw 36&amp;50", C225&lt;66, "Btw 51&amp;65", C225&gt;=66," 66&amp;Above")</f>
        <v>Btw 51&amp;65</v>
      </c>
    </row>
    <row r="226" spans="1:16">
      <c r="A226" t="s">
        <v>487</v>
      </c>
      <c r="B226" t="s">
        <v>488</v>
      </c>
      <c r="C226">
        <v>44</v>
      </c>
      <c r="D226" t="s">
        <v>18</v>
      </c>
      <c r="E226" s="2">
        <v>45414</v>
      </c>
      <c r="F226" s="2">
        <v>45422</v>
      </c>
      <c r="G226" t="s">
        <v>60</v>
      </c>
      <c r="H226" t="s">
        <v>61</v>
      </c>
      <c r="I226" s="3">
        <v>11435.94</v>
      </c>
      <c r="J226" t="s">
        <v>15</v>
      </c>
      <c r="K226" s="4">
        <v>0.9</v>
      </c>
      <c r="L226" s="3">
        <f t="shared" si="12"/>
        <v>10292.346000000001</v>
      </c>
      <c r="M226" s="3">
        <f t="shared" si="13"/>
        <v>1143.5939999999998</v>
      </c>
      <c r="N226">
        <f t="shared" si="14"/>
        <v>8</v>
      </c>
      <c r="O226" s="3">
        <f t="shared" si="15"/>
        <v>11435.94</v>
      </c>
      <c r="P226" t="str" cm="1">
        <f t="array" ref="P226">_xlfn.IFS(C226&lt;18, "Under 18", C226&lt;36, "Btw 18&amp;35", C226&lt;51, "Btw 36&amp;50", C226&lt;66, "Btw 51&amp;65", C226&gt;=66," 66&amp;Above")</f>
        <v>Btw 36&amp;50</v>
      </c>
    </row>
    <row r="227" spans="1:16">
      <c r="A227" t="s">
        <v>489</v>
      </c>
      <c r="B227" t="s">
        <v>490</v>
      </c>
      <c r="C227">
        <v>70</v>
      </c>
      <c r="D227" t="s">
        <v>12</v>
      </c>
      <c r="E227" s="2">
        <v>45553</v>
      </c>
      <c r="F227" s="2">
        <v>45554</v>
      </c>
      <c r="G227" t="s">
        <v>23</v>
      </c>
      <c r="H227" t="s">
        <v>333</v>
      </c>
      <c r="I227" s="3">
        <v>859.95</v>
      </c>
      <c r="J227" t="s">
        <v>20</v>
      </c>
      <c r="K227" s="4">
        <v>0.6</v>
      </c>
      <c r="L227" s="3">
        <f t="shared" si="12"/>
        <v>515.97</v>
      </c>
      <c r="M227" s="3">
        <f t="shared" si="13"/>
        <v>343.98</v>
      </c>
      <c r="N227">
        <f t="shared" si="14"/>
        <v>1</v>
      </c>
      <c r="O227" s="3">
        <f t="shared" si="15"/>
        <v>0</v>
      </c>
      <c r="P227" t="str" cm="1">
        <f t="array" ref="P227">_xlfn.IFS(C227&lt;18, "Under 18", C227&lt;36, "Btw 18&amp;35", C227&lt;51, "Btw 36&amp;50", C227&lt;66, "Btw 51&amp;65", C227&gt;=66," 66&amp;Above")</f>
        <v xml:space="preserve"> 66&amp;Above</v>
      </c>
    </row>
    <row r="228" spans="1:16">
      <c r="A228" t="s">
        <v>491</v>
      </c>
      <c r="B228" t="s">
        <v>492</v>
      </c>
      <c r="C228">
        <v>1</v>
      </c>
      <c r="D228" t="s">
        <v>12</v>
      </c>
      <c r="E228" s="2">
        <v>45400</v>
      </c>
      <c r="F228" s="2">
        <v>45403</v>
      </c>
      <c r="G228" t="s">
        <v>49</v>
      </c>
      <c r="H228" t="s">
        <v>120</v>
      </c>
      <c r="I228" s="3">
        <v>2590.21</v>
      </c>
      <c r="J228" t="s">
        <v>20</v>
      </c>
      <c r="K228" s="4">
        <v>0.9</v>
      </c>
      <c r="L228" s="3">
        <f t="shared" si="12"/>
        <v>2331.1890000000003</v>
      </c>
      <c r="M228" s="3">
        <f t="shared" si="13"/>
        <v>259.02099999999996</v>
      </c>
      <c r="N228">
        <f t="shared" si="14"/>
        <v>3</v>
      </c>
      <c r="O228" s="3">
        <f t="shared" si="15"/>
        <v>0</v>
      </c>
      <c r="P228" t="str" cm="1">
        <f t="array" ref="P228">_xlfn.IFS(C228&lt;18, "Under 18", C228&lt;36, "Btw 18&amp;35", C228&lt;51, "Btw 36&amp;50", C228&lt;66, "Btw 51&amp;65", C228&gt;=66," 66&amp;Above")</f>
        <v>Under 18</v>
      </c>
    </row>
    <row r="229" spans="1:16">
      <c r="A229" t="s">
        <v>493</v>
      </c>
      <c r="B229" t="s">
        <v>17</v>
      </c>
      <c r="C229">
        <v>48</v>
      </c>
      <c r="D229" t="s">
        <v>18</v>
      </c>
      <c r="E229" s="2">
        <v>45864</v>
      </c>
      <c r="F229" s="2">
        <v>45865</v>
      </c>
      <c r="G229" t="s">
        <v>31</v>
      </c>
      <c r="H229" t="s">
        <v>44</v>
      </c>
      <c r="I229" s="3">
        <v>791.92</v>
      </c>
      <c r="J229" t="s">
        <v>25</v>
      </c>
      <c r="K229" s="4">
        <v>0.5</v>
      </c>
      <c r="L229" s="3">
        <f t="shared" si="12"/>
        <v>395.96</v>
      </c>
      <c r="M229" s="3">
        <f t="shared" si="13"/>
        <v>395.96</v>
      </c>
      <c r="N229">
        <f t="shared" si="14"/>
        <v>1</v>
      </c>
      <c r="O229" s="3">
        <f t="shared" si="15"/>
        <v>0</v>
      </c>
      <c r="P229" t="str" cm="1">
        <f t="array" ref="P229">_xlfn.IFS(C229&lt;18, "Under 18", C229&lt;36, "Btw 18&amp;35", C229&lt;51, "Btw 36&amp;50", C229&lt;66, "Btw 51&amp;65", C229&gt;=66," 66&amp;Above")</f>
        <v>Btw 36&amp;50</v>
      </c>
    </row>
    <row r="230" spans="1:16">
      <c r="A230" t="s">
        <v>494</v>
      </c>
      <c r="B230" t="s">
        <v>181</v>
      </c>
      <c r="C230">
        <v>48</v>
      </c>
      <c r="D230" t="s">
        <v>18</v>
      </c>
      <c r="E230" s="2">
        <v>45514</v>
      </c>
      <c r="F230" s="2">
        <v>45517</v>
      </c>
      <c r="G230" t="s">
        <v>23</v>
      </c>
      <c r="H230" t="s">
        <v>221</v>
      </c>
      <c r="I230" s="3">
        <v>3524.43</v>
      </c>
      <c r="J230" t="s">
        <v>15</v>
      </c>
      <c r="K230" s="4">
        <v>0.8</v>
      </c>
      <c r="L230" s="3">
        <f t="shared" si="12"/>
        <v>2819.5439999999999</v>
      </c>
      <c r="M230" s="3">
        <f t="shared" si="13"/>
        <v>704.88599999999985</v>
      </c>
      <c r="N230">
        <f t="shared" si="14"/>
        <v>3</v>
      </c>
      <c r="O230" s="3">
        <f t="shared" si="15"/>
        <v>3524.43</v>
      </c>
      <c r="P230" t="str" cm="1">
        <f t="array" ref="P230">_xlfn.IFS(C230&lt;18, "Under 18", C230&lt;36, "Btw 18&amp;35", C230&lt;51, "Btw 36&amp;50", C230&lt;66, "Btw 51&amp;65", C230&gt;=66," 66&amp;Above")</f>
        <v>Btw 36&amp;50</v>
      </c>
    </row>
    <row r="231" spans="1:16">
      <c r="A231" t="s">
        <v>495</v>
      </c>
      <c r="B231" t="s">
        <v>496</v>
      </c>
      <c r="C231">
        <v>43</v>
      </c>
      <c r="D231" t="s">
        <v>12</v>
      </c>
      <c r="E231" s="2">
        <v>45455</v>
      </c>
      <c r="F231" s="2">
        <v>45457</v>
      </c>
      <c r="G231" t="s">
        <v>60</v>
      </c>
      <c r="H231" t="s">
        <v>97</v>
      </c>
      <c r="I231" s="3">
        <v>4464.59</v>
      </c>
      <c r="J231" t="s">
        <v>25</v>
      </c>
      <c r="K231" s="4">
        <v>0</v>
      </c>
      <c r="L231" s="3">
        <f t="shared" si="12"/>
        <v>0</v>
      </c>
      <c r="M231" s="3">
        <f t="shared" si="13"/>
        <v>4464.59</v>
      </c>
      <c r="N231">
        <f t="shared" si="14"/>
        <v>2</v>
      </c>
      <c r="O231" s="3">
        <f t="shared" si="15"/>
        <v>0</v>
      </c>
      <c r="P231" t="str" cm="1">
        <f t="array" ref="P231">_xlfn.IFS(C231&lt;18, "Under 18", C231&lt;36, "Btw 18&amp;35", C231&lt;51, "Btw 36&amp;50", C231&lt;66, "Btw 51&amp;65", C231&gt;=66," 66&amp;Above")</f>
        <v>Btw 36&amp;50</v>
      </c>
    </row>
    <row r="232" spans="1:16">
      <c r="A232" t="s">
        <v>497</v>
      </c>
      <c r="B232" t="s">
        <v>498</v>
      </c>
      <c r="C232">
        <v>24</v>
      </c>
      <c r="D232" t="s">
        <v>18</v>
      </c>
      <c r="E232" s="2">
        <v>45370</v>
      </c>
      <c r="F232" s="2">
        <v>45373</v>
      </c>
      <c r="G232" t="s">
        <v>23</v>
      </c>
      <c r="H232" t="s">
        <v>333</v>
      </c>
      <c r="I232" s="3">
        <v>4867.6099999999997</v>
      </c>
      <c r="J232" t="s">
        <v>15</v>
      </c>
      <c r="K232" s="4">
        <v>0.7</v>
      </c>
      <c r="L232" s="3">
        <f t="shared" si="12"/>
        <v>3407.3269999999998</v>
      </c>
      <c r="M232" s="3">
        <f t="shared" si="13"/>
        <v>1460.2830000000001</v>
      </c>
      <c r="N232">
        <f t="shared" si="14"/>
        <v>3</v>
      </c>
      <c r="O232" s="3">
        <f t="shared" si="15"/>
        <v>4867.6099999999997</v>
      </c>
      <c r="P232" t="str" cm="1">
        <f t="array" ref="P232">_xlfn.IFS(C232&lt;18, "Under 18", C232&lt;36, "Btw 18&amp;35", C232&lt;51, "Btw 36&amp;50", C232&lt;66, "Btw 51&amp;65", C232&gt;=66," 66&amp;Above")</f>
        <v>Btw 18&amp;35</v>
      </c>
    </row>
    <row r="233" spans="1:16">
      <c r="A233" t="s">
        <v>499</v>
      </c>
      <c r="B233" t="s">
        <v>500</v>
      </c>
      <c r="C233">
        <v>41</v>
      </c>
      <c r="D233" t="s">
        <v>12</v>
      </c>
      <c r="E233" s="2">
        <v>45605</v>
      </c>
      <c r="F233" s="2">
        <v>45609</v>
      </c>
      <c r="G233" t="s">
        <v>13</v>
      </c>
      <c r="H233" t="s">
        <v>165</v>
      </c>
      <c r="I233" s="3">
        <v>5584.74</v>
      </c>
      <c r="J233" t="s">
        <v>15</v>
      </c>
      <c r="K233" s="4">
        <v>1</v>
      </c>
      <c r="L233" s="3">
        <f t="shared" si="12"/>
        <v>5584.74</v>
      </c>
      <c r="M233" s="3">
        <f t="shared" si="13"/>
        <v>0</v>
      </c>
      <c r="N233">
        <f t="shared" si="14"/>
        <v>4</v>
      </c>
      <c r="O233" s="3">
        <f t="shared" si="15"/>
        <v>5584.74</v>
      </c>
      <c r="P233" t="str" cm="1">
        <f t="array" ref="P233">_xlfn.IFS(C233&lt;18, "Under 18", C233&lt;36, "Btw 18&amp;35", C233&lt;51, "Btw 36&amp;50", C233&lt;66, "Btw 51&amp;65", C233&gt;=66," 66&amp;Above")</f>
        <v>Btw 36&amp;50</v>
      </c>
    </row>
    <row r="234" spans="1:16">
      <c r="A234" t="s">
        <v>501</v>
      </c>
      <c r="B234" t="s">
        <v>502</v>
      </c>
      <c r="C234">
        <v>51</v>
      </c>
      <c r="D234" t="s">
        <v>18</v>
      </c>
      <c r="E234" s="2">
        <v>45782</v>
      </c>
      <c r="F234" s="2">
        <v>45784</v>
      </c>
      <c r="G234" t="s">
        <v>23</v>
      </c>
      <c r="H234" t="s">
        <v>24</v>
      </c>
      <c r="I234" s="3">
        <v>4718.74</v>
      </c>
      <c r="J234" t="s">
        <v>20</v>
      </c>
      <c r="K234" s="4">
        <v>0.8</v>
      </c>
      <c r="L234" s="3">
        <f t="shared" si="12"/>
        <v>3774.9920000000002</v>
      </c>
      <c r="M234" s="3">
        <f t="shared" si="13"/>
        <v>943.74799999999971</v>
      </c>
      <c r="N234">
        <f t="shared" si="14"/>
        <v>2</v>
      </c>
      <c r="O234" s="3">
        <f t="shared" si="15"/>
        <v>0</v>
      </c>
      <c r="P234" t="str" cm="1">
        <f t="array" ref="P234">_xlfn.IFS(C234&lt;18, "Under 18", C234&lt;36, "Btw 18&amp;35", C234&lt;51, "Btw 36&amp;50", C234&lt;66, "Btw 51&amp;65", C234&gt;=66," 66&amp;Above")</f>
        <v>Btw 51&amp;65</v>
      </c>
    </row>
    <row r="235" spans="1:16">
      <c r="A235" t="s">
        <v>503</v>
      </c>
      <c r="B235" t="s">
        <v>504</v>
      </c>
      <c r="C235">
        <v>10</v>
      </c>
      <c r="D235" t="s">
        <v>12</v>
      </c>
      <c r="E235" s="2">
        <v>45702</v>
      </c>
      <c r="F235" s="2">
        <v>45703</v>
      </c>
      <c r="G235" t="s">
        <v>49</v>
      </c>
      <c r="H235" t="s">
        <v>378</v>
      </c>
      <c r="I235" s="3">
        <v>1605.56</v>
      </c>
      <c r="J235" t="s">
        <v>20</v>
      </c>
      <c r="K235" s="4">
        <v>0.8</v>
      </c>
      <c r="L235" s="3">
        <f t="shared" si="12"/>
        <v>1284.4480000000001</v>
      </c>
      <c r="M235" s="3">
        <f t="shared" si="13"/>
        <v>321.11199999999991</v>
      </c>
      <c r="N235">
        <f t="shared" si="14"/>
        <v>1</v>
      </c>
      <c r="O235" s="3">
        <f t="shared" si="15"/>
        <v>0</v>
      </c>
      <c r="P235" t="str" cm="1">
        <f t="array" ref="P235">_xlfn.IFS(C235&lt;18, "Under 18", C235&lt;36, "Btw 18&amp;35", C235&lt;51, "Btw 36&amp;50", C235&lt;66, "Btw 51&amp;65", C235&gt;=66," 66&amp;Above")</f>
        <v>Under 18</v>
      </c>
    </row>
    <row r="236" spans="1:16">
      <c r="A236" t="s">
        <v>505</v>
      </c>
      <c r="B236" t="s">
        <v>506</v>
      </c>
      <c r="C236">
        <v>75</v>
      </c>
      <c r="D236" t="s">
        <v>12</v>
      </c>
      <c r="E236" s="2">
        <v>45716</v>
      </c>
      <c r="F236" s="2">
        <v>45717</v>
      </c>
      <c r="G236" t="s">
        <v>31</v>
      </c>
      <c r="H236" t="s">
        <v>35</v>
      </c>
      <c r="I236" s="3">
        <v>1383.31</v>
      </c>
      <c r="J236" t="s">
        <v>15</v>
      </c>
      <c r="K236" s="4">
        <v>0.9</v>
      </c>
      <c r="L236" s="3">
        <f t="shared" si="12"/>
        <v>1244.979</v>
      </c>
      <c r="M236" s="3">
        <f t="shared" si="13"/>
        <v>138.33099999999996</v>
      </c>
      <c r="N236">
        <f t="shared" si="14"/>
        <v>1</v>
      </c>
      <c r="O236" s="3">
        <f t="shared" si="15"/>
        <v>1383.31</v>
      </c>
      <c r="P236" t="str" cm="1">
        <f t="array" ref="P236">_xlfn.IFS(C236&lt;18, "Under 18", C236&lt;36, "Btw 18&amp;35", C236&lt;51, "Btw 36&amp;50", C236&lt;66, "Btw 51&amp;65", C236&gt;=66," 66&amp;Above")</f>
        <v xml:space="preserve"> 66&amp;Above</v>
      </c>
    </row>
    <row r="237" spans="1:16">
      <c r="A237" t="s">
        <v>507</v>
      </c>
      <c r="B237" t="s">
        <v>508</v>
      </c>
      <c r="C237">
        <v>50</v>
      </c>
      <c r="D237" t="s">
        <v>18</v>
      </c>
      <c r="E237" s="2">
        <v>45747</v>
      </c>
      <c r="F237" s="2">
        <v>45755</v>
      </c>
      <c r="G237" t="s">
        <v>13</v>
      </c>
      <c r="H237" t="s">
        <v>111</v>
      </c>
      <c r="I237" s="3">
        <v>19135.11</v>
      </c>
      <c r="J237" t="s">
        <v>15</v>
      </c>
      <c r="K237" s="4">
        <v>0.8</v>
      </c>
      <c r="L237" s="3">
        <f t="shared" si="12"/>
        <v>15308.088000000002</v>
      </c>
      <c r="M237" s="3">
        <f t="shared" si="13"/>
        <v>3827.0219999999995</v>
      </c>
      <c r="N237">
        <f t="shared" si="14"/>
        <v>8</v>
      </c>
      <c r="O237" s="3">
        <f t="shared" si="15"/>
        <v>19135.11</v>
      </c>
      <c r="P237" t="str" cm="1">
        <f t="array" ref="P237">_xlfn.IFS(C237&lt;18, "Under 18", C237&lt;36, "Btw 18&amp;35", C237&lt;51, "Btw 36&amp;50", C237&lt;66, "Btw 51&amp;65", C237&gt;=66," 66&amp;Above")</f>
        <v>Btw 36&amp;50</v>
      </c>
    </row>
    <row r="238" spans="1:16">
      <c r="A238" t="s">
        <v>509</v>
      </c>
      <c r="B238" t="s">
        <v>510</v>
      </c>
      <c r="C238">
        <v>46</v>
      </c>
      <c r="D238" t="s">
        <v>18</v>
      </c>
      <c r="E238" s="2">
        <v>45578</v>
      </c>
      <c r="F238" s="2">
        <v>45582</v>
      </c>
      <c r="G238" t="s">
        <v>60</v>
      </c>
      <c r="H238" t="s">
        <v>77</v>
      </c>
      <c r="I238" s="3">
        <v>9234.25</v>
      </c>
      <c r="J238" t="s">
        <v>20</v>
      </c>
      <c r="K238" s="4">
        <v>0.7</v>
      </c>
      <c r="L238" s="3">
        <f t="shared" si="12"/>
        <v>6463.9749999999995</v>
      </c>
      <c r="M238" s="3">
        <f t="shared" si="13"/>
        <v>2770.2750000000005</v>
      </c>
      <c r="N238">
        <f t="shared" si="14"/>
        <v>4</v>
      </c>
      <c r="O238" s="3">
        <f t="shared" si="15"/>
        <v>0</v>
      </c>
      <c r="P238" t="str" cm="1">
        <f t="array" ref="P238">_xlfn.IFS(C238&lt;18, "Under 18", C238&lt;36, "Btw 18&amp;35", C238&lt;51, "Btw 36&amp;50", C238&lt;66, "Btw 51&amp;65", C238&gt;=66," 66&amp;Above")</f>
        <v>Btw 36&amp;50</v>
      </c>
    </row>
    <row r="239" spans="1:16">
      <c r="A239" t="s">
        <v>511</v>
      </c>
      <c r="B239" t="s">
        <v>512</v>
      </c>
      <c r="C239">
        <v>83</v>
      </c>
      <c r="D239" t="s">
        <v>12</v>
      </c>
      <c r="E239" s="2">
        <v>45467</v>
      </c>
      <c r="F239" s="2">
        <v>45472</v>
      </c>
      <c r="G239" t="s">
        <v>13</v>
      </c>
      <c r="H239" t="s">
        <v>111</v>
      </c>
      <c r="I239" s="3">
        <v>7388.36</v>
      </c>
      <c r="J239" t="s">
        <v>15</v>
      </c>
      <c r="K239" s="4">
        <v>0.9</v>
      </c>
      <c r="L239" s="3">
        <f t="shared" si="12"/>
        <v>6649.5239999999994</v>
      </c>
      <c r="M239" s="3">
        <f t="shared" si="13"/>
        <v>738.83599999999979</v>
      </c>
      <c r="N239">
        <f t="shared" si="14"/>
        <v>5</v>
      </c>
      <c r="O239" s="3">
        <f t="shared" si="15"/>
        <v>7388.36</v>
      </c>
      <c r="P239" t="str" cm="1">
        <f t="array" ref="P239">_xlfn.IFS(C239&lt;18, "Under 18", C239&lt;36, "Btw 18&amp;35", C239&lt;51, "Btw 36&amp;50", C239&lt;66, "Btw 51&amp;65", C239&gt;=66," 66&amp;Above")</f>
        <v xml:space="preserve"> 66&amp;Above</v>
      </c>
    </row>
    <row r="240" spans="1:16">
      <c r="A240" t="s">
        <v>513</v>
      </c>
      <c r="B240" t="s">
        <v>514</v>
      </c>
      <c r="C240">
        <v>17</v>
      </c>
      <c r="D240" t="s">
        <v>18</v>
      </c>
      <c r="E240" s="2">
        <v>45465</v>
      </c>
      <c r="F240" s="2">
        <v>45468</v>
      </c>
      <c r="G240" t="s">
        <v>49</v>
      </c>
      <c r="H240" t="s">
        <v>123</v>
      </c>
      <c r="I240" s="3">
        <v>2080.9499999999998</v>
      </c>
      <c r="J240" t="s">
        <v>25</v>
      </c>
      <c r="K240" s="4">
        <v>1</v>
      </c>
      <c r="L240" s="3">
        <f t="shared" si="12"/>
        <v>2080.9499999999998</v>
      </c>
      <c r="M240" s="3">
        <f t="shared" si="13"/>
        <v>0</v>
      </c>
      <c r="N240">
        <f t="shared" si="14"/>
        <v>3</v>
      </c>
      <c r="O240" s="3">
        <f t="shared" si="15"/>
        <v>0</v>
      </c>
      <c r="P240" t="str" cm="1">
        <f t="array" ref="P240">_xlfn.IFS(C240&lt;18, "Under 18", C240&lt;36, "Btw 18&amp;35", C240&lt;51, "Btw 36&amp;50", C240&lt;66, "Btw 51&amp;65", C240&gt;=66," 66&amp;Above")</f>
        <v>Under 18</v>
      </c>
    </row>
    <row r="241" spans="1:16">
      <c r="A241" t="s">
        <v>515</v>
      </c>
      <c r="B241" t="s">
        <v>516</v>
      </c>
      <c r="C241">
        <v>70</v>
      </c>
      <c r="D241" t="s">
        <v>12</v>
      </c>
      <c r="E241" s="2">
        <v>45301</v>
      </c>
      <c r="F241" s="2">
        <v>45303</v>
      </c>
      <c r="G241" t="s">
        <v>60</v>
      </c>
      <c r="H241" t="s">
        <v>133</v>
      </c>
      <c r="I241" s="3">
        <v>5457.97</v>
      </c>
      <c r="J241" t="s">
        <v>15</v>
      </c>
      <c r="K241" s="4">
        <v>0.8</v>
      </c>
      <c r="L241" s="3">
        <f t="shared" si="12"/>
        <v>4366.3760000000002</v>
      </c>
      <c r="M241" s="3">
        <f t="shared" si="13"/>
        <v>1091.5939999999998</v>
      </c>
      <c r="N241">
        <f t="shared" si="14"/>
        <v>2</v>
      </c>
      <c r="O241" s="3">
        <f t="shared" si="15"/>
        <v>5457.97</v>
      </c>
      <c r="P241" t="str" cm="1">
        <f t="array" ref="P241">_xlfn.IFS(C241&lt;18, "Under 18", C241&lt;36, "Btw 18&amp;35", C241&lt;51, "Btw 36&amp;50", C241&lt;66, "Btw 51&amp;65", C241&gt;=66," 66&amp;Above")</f>
        <v xml:space="preserve"> 66&amp;Above</v>
      </c>
    </row>
    <row r="242" spans="1:16">
      <c r="A242" t="s">
        <v>517</v>
      </c>
      <c r="B242" t="s">
        <v>27</v>
      </c>
      <c r="C242">
        <v>42</v>
      </c>
      <c r="D242" t="s">
        <v>18</v>
      </c>
      <c r="E242" s="2">
        <v>45522</v>
      </c>
      <c r="F242" s="2">
        <v>45534</v>
      </c>
      <c r="G242" t="s">
        <v>60</v>
      </c>
      <c r="H242" t="s">
        <v>74</v>
      </c>
      <c r="I242" s="3">
        <v>15047.59</v>
      </c>
      <c r="J242" t="s">
        <v>15</v>
      </c>
      <c r="K242" s="4">
        <v>0.8</v>
      </c>
      <c r="L242" s="3">
        <f t="shared" si="12"/>
        <v>12038.072</v>
      </c>
      <c r="M242" s="3">
        <f t="shared" si="13"/>
        <v>3009.5179999999996</v>
      </c>
      <c r="N242">
        <f t="shared" si="14"/>
        <v>12</v>
      </c>
      <c r="O242" s="3">
        <f t="shared" si="15"/>
        <v>15047.59</v>
      </c>
      <c r="P242" t="str" cm="1">
        <f t="array" ref="P242">_xlfn.IFS(C242&lt;18, "Under 18", C242&lt;36, "Btw 18&amp;35", C242&lt;51, "Btw 36&amp;50", C242&lt;66, "Btw 51&amp;65", C242&gt;=66," 66&amp;Above")</f>
        <v>Btw 36&amp;50</v>
      </c>
    </row>
    <row r="243" spans="1:16">
      <c r="A243" t="s">
        <v>518</v>
      </c>
      <c r="B243" t="s">
        <v>519</v>
      </c>
      <c r="C243">
        <v>16</v>
      </c>
      <c r="D243" t="s">
        <v>18</v>
      </c>
      <c r="E243" s="2">
        <v>45630</v>
      </c>
      <c r="F243" s="2">
        <v>45632</v>
      </c>
      <c r="G243" t="s">
        <v>49</v>
      </c>
      <c r="H243" t="s">
        <v>378</v>
      </c>
      <c r="I243" s="3">
        <v>2737.97</v>
      </c>
      <c r="J243" t="s">
        <v>15</v>
      </c>
      <c r="K243" s="4">
        <v>0.9</v>
      </c>
      <c r="L243" s="3">
        <f t="shared" si="12"/>
        <v>2464.1729999999998</v>
      </c>
      <c r="M243" s="3">
        <f t="shared" si="13"/>
        <v>273.79699999999991</v>
      </c>
      <c r="N243">
        <f t="shared" si="14"/>
        <v>2</v>
      </c>
      <c r="O243" s="3">
        <f t="shared" si="15"/>
        <v>2737.97</v>
      </c>
      <c r="P243" t="str" cm="1">
        <f t="array" ref="P243">_xlfn.IFS(C243&lt;18, "Under 18", C243&lt;36, "Btw 18&amp;35", C243&lt;51, "Btw 36&amp;50", C243&lt;66, "Btw 51&amp;65", C243&gt;=66," 66&amp;Above")</f>
        <v>Under 18</v>
      </c>
    </row>
    <row r="244" spans="1:16">
      <c r="A244" t="s">
        <v>520</v>
      </c>
      <c r="B244" t="s">
        <v>482</v>
      </c>
      <c r="C244">
        <v>58</v>
      </c>
      <c r="D244" t="s">
        <v>12</v>
      </c>
      <c r="E244" s="2">
        <v>45650</v>
      </c>
      <c r="F244" s="2">
        <v>45664</v>
      </c>
      <c r="G244" t="s">
        <v>60</v>
      </c>
      <c r="H244" t="s">
        <v>74</v>
      </c>
      <c r="I244" s="3">
        <v>19026.97</v>
      </c>
      <c r="J244" t="s">
        <v>20</v>
      </c>
      <c r="K244" s="4">
        <v>0.8</v>
      </c>
      <c r="L244" s="3">
        <f t="shared" si="12"/>
        <v>15221.576000000001</v>
      </c>
      <c r="M244" s="3">
        <f t="shared" si="13"/>
        <v>3805.3939999999993</v>
      </c>
      <c r="N244">
        <f t="shared" si="14"/>
        <v>14</v>
      </c>
      <c r="O244" s="3">
        <f t="shared" si="15"/>
        <v>0</v>
      </c>
      <c r="P244" t="str" cm="1">
        <f t="array" ref="P244">_xlfn.IFS(C244&lt;18, "Under 18", C244&lt;36, "Btw 18&amp;35", C244&lt;51, "Btw 36&amp;50", C244&lt;66, "Btw 51&amp;65", C244&gt;=66," 66&amp;Above")</f>
        <v>Btw 51&amp;65</v>
      </c>
    </row>
    <row r="245" spans="1:16">
      <c r="A245" t="s">
        <v>521</v>
      </c>
      <c r="B245" t="s">
        <v>196</v>
      </c>
      <c r="C245">
        <v>35</v>
      </c>
      <c r="D245" t="s">
        <v>12</v>
      </c>
      <c r="E245" s="2">
        <v>45323</v>
      </c>
      <c r="F245" s="2">
        <v>45326</v>
      </c>
      <c r="G245" t="s">
        <v>23</v>
      </c>
      <c r="H245" t="s">
        <v>204</v>
      </c>
      <c r="I245" s="3">
        <v>4955.5</v>
      </c>
      <c r="J245" t="s">
        <v>20</v>
      </c>
      <c r="K245" s="4">
        <v>0.9</v>
      </c>
      <c r="L245" s="3">
        <f t="shared" si="12"/>
        <v>4459.95</v>
      </c>
      <c r="M245" s="3">
        <f t="shared" si="13"/>
        <v>495.5499999999999</v>
      </c>
      <c r="N245">
        <f t="shared" si="14"/>
        <v>3</v>
      </c>
      <c r="O245" s="3">
        <f t="shared" si="15"/>
        <v>0</v>
      </c>
      <c r="P245" t="str" cm="1">
        <f t="array" ref="P245">_xlfn.IFS(C245&lt;18, "Under 18", C245&lt;36, "Btw 18&amp;35", C245&lt;51, "Btw 36&amp;50", C245&lt;66, "Btw 51&amp;65", C245&gt;=66," 66&amp;Above")</f>
        <v>Btw 18&amp;35</v>
      </c>
    </row>
    <row r="246" spans="1:16">
      <c r="A246" t="s">
        <v>522</v>
      </c>
      <c r="B246" t="s">
        <v>523</v>
      </c>
      <c r="C246">
        <v>58</v>
      </c>
      <c r="D246" t="s">
        <v>18</v>
      </c>
      <c r="E246" s="2">
        <v>45757</v>
      </c>
      <c r="F246" s="2">
        <v>45759</v>
      </c>
      <c r="G246" t="s">
        <v>23</v>
      </c>
      <c r="H246" t="s">
        <v>333</v>
      </c>
      <c r="I246" s="3">
        <v>4048.56</v>
      </c>
      <c r="J246" t="s">
        <v>20</v>
      </c>
      <c r="K246" s="4">
        <v>0.8</v>
      </c>
      <c r="L246" s="3">
        <f t="shared" si="12"/>
        <v>3238.848</v>
      </c>
      <c r="M246" s="3">
        <f t="shared" si="13"/>
        <v>809.71199999999976</v>
      </c>
      <c r="N246">
        <f t="shared" si="14"/>
        <v>2</v>
      </c>
      <c r="O246" s="3">
        <f t="shared" si="15"/>
        <v>0</v>
      </c>
      <c r="P246" t="str" cm="1">
        <f t="array" ref="P246">_xlfn.IFS(C246&lt;18, "Under 18", C246&lt;36, "Btw 18&amp;35", C246&lt;51, "Btw 36&amp;50", C246&lt;66, "Btw 51&amp;65", C246&gt;=66," 66&amp;Above")</f>
        <v>Btw 51&amp;65</v>
      </c>
    </row>
    <row r="247" spans="1:16">
      <c r="A247" t="s">
        <v>524</v>
      </c>
      <c r="B247" t="s">
        <v>525</v>
      </c>
      <c r="C247">
        <v>47</v>
      </c>
      <c r="D247" t="s">
        <v>12</v>
      </c>
      <c r="E247" s="2">
        <v>45995</v>
      </c>
      <c r="F247" s="2">
        <v>46001</v>
      </c>
      <c r="G247" t="s">
        <v>31</v>
      </c>
      <c r="H247" t="s">
        <v>234</v>
      </c>
      <c r="I247" s="3">
        <v>6918.6</v>
      </c>
      <c r="J247" t="s">
        <v>15</v>
      </c>
      <c r="K247" s="4">
        <v>0.8</v>
      </c>
      <c r="L247" s="3">
        <f t="shared" si="12"/>
        <v>5534.880000000001</v>
      </c>
      <c r="M247" s="3">
        <f t="shared" si="13"/>
        <v>1383.7199999999998</v>
      </c>
      <c r="N247">
        <f t="shared" si="14"/>
        <v>6</v>
      </c>
      <c r="O247" s="3">
        <f t="shared" si="15"/>
        <v>6918.6</v>
      </c>
      <c r="P247" t="str" cm="1">
        <f t="array" ref="P247">_xlfn.IFS(C247&lt;18, "Under 18", C247&lt;36, "Btw 18&amp;35", C247&lt;51, "Btw 36&amp;50", C247&lt;66, "Btw 51&amp;65", C247&gt;=66," 66&amp;Above")</f>
        <v>Btw 36&amp;50</v>
      </c>
    </row>
    <row r="248" spans="1:16">
      <c r="A248" t="s">
        <v>526</v>
      </c>
      <c r="B248" t="s">
        <v>527</v>
      </c>
      <c r="C248">
        <v>8</v>
      </c>
      <c r="D248" t="s">
        <v>18</v>
      </c>
      <c r="E248" s="2">
        <v>45650</v>
      </c>
      <c r="F248" s="2">
        <v>45653</v>
      </c>
      <c r="G248" t="s">
        <v>49</v>
      </c>
      <c r="H248" t="s">
        <v>120</v>
      </c>
      <c r="I248" s="3">
        <v>3846.88</v>
      </c>
      <c r="J248" t="s">
        <v>15</v>
      </c>
      <c r="K248" s="4">
        <v>0.8</v>
      </c>
      <c r="L248" s="3">
        <f t="shared" si="12"/>
        <v>3077.5040000000004</v>
      </c>
      <c r="M248" s="3">
        <f t="shared" si="13"/>
        <v>769.37599999999986</v>
      </c>
      <c r="N248">
        <f t="shared" si="14"/>
        <v>3</v>
      </c>
      <c r="O248" s="3">
        <f t="shared" si="15"/>
        <v>3846.88</v>
      </c>
      <c r="P248" t="str" cm="1">
        <f t="array" ref="P248">_xlfn.IFS(C248&lt;18, "Under 18", C248&lt;36, "Btw 18&amp;35", C248&lt;51, "Btw 36&amp;50", C248&lt;66, "Btw 51&amp;65", C248&gt;=66," 66&amp;Above")</f>
        <v>Under 18</v>
      </c>
    </row>
    <row r="249" spans="1:16">
      <c r="A249" t="s">
        <v>528</v>
      </c>
      <c r="B249" t="s">
        <v>529</v>
      </c>
      <c r="C249">
        <v>65</v>
      </c>
      <c r="D249" t="s">
        <v>18</v>
      </c>
      <c r="E249" s="2">
        <v>45776</v>
      </c>
      <c r="F249" s="2">
        <v>45780</v>
      </c>
      <c r="G249" t="s">
        <v>31</v>
      </c>
      <c r="H249" t="s">
        <v>114</v>
      </c>
      <c r="I249" s="3">
        <v>3019.93</v>
      </c>
      <c r="J249" t="s">
        <v>25</v>
      </c>
      <c r="K249" s="4">
        <v>0.7</v>
      </c>
      <c r="L249" s="3">
        <f t="shared" si="12"/>
        <v>2113.9509999999996</v>
      </c>
      <c r="M249" s="3">
        <f t="shared" si="13"/>
        <v>905.97900000000004</v>
      </c>
      <c r="N249">
        <f t="shared" si="14"/>
        <v>4</v>
      </c>
      <c r="O249" s="3">
        <f t="shared" si="15"/>
        <v>0</v>
      </c>
      <c r="P249" t="str" cm="1">
        <f t="array" ref="P249">_xlfn.IFS(C249&lt;18, "Under 18", C249&lt;36, "Btw 18&amp;35", C249&lt;51, "Btw 36&amp;50", C249&lt;66, "Btw 51&amp;65", C249&gt;=66," 66&amp;Above")</f>
        <v>Btw 51&amp;65</v>
      </c>
    </row>
    <row r="250" spans="1:16">
      <c r="A250" t="s">
        <v>530</v>
      </c>
      <c r="B250" t="s">
        <v>531</v>
      </c>
      <c r="C250">
        <v>4</v>
      </c>
      <c r="D250" t="s">
        <v>12</v>
      </c>
      <c r="E250" s="2">
        <v>45624</v>
      </c>
      <c r="F250" s="2">
        <v>45628</v>
      </c>
      <c r="G250" t="s">
        <v>49</v>
      </c>
      <c r="H250" t="s">
        <v>130</v>
      </c>
      <c r="I250" s="3">
        <v>3543.7</v>
      </c>
      <c r="J250" t="s">
        <v>20</v>
      </c>
      <c r="K250" s="4">
        <v>0.9</v>
      </c>
      <c r="L250" s="3">
        <f t="shared" si="12"/>
        <v>3189.33</v>
      </c>
      <c r="M250" s="3">
        <f t="shared" si="13"/>
        <v>354.36999999999989</v>
      </c>
      <c r="N250">
        <f t="shared" si="14"/>
        <v>4</v>
      </c>
      <c r="O250" s="3">
        <f t="shared" si="15"/>
        <v>0</v>
      </c>
      <c r="P250" t="str" cm="1">
        <f t="array" ref="P250">_xlfn.IFS(C250&lt;18, "Under 18", C250&lt;36, "Btw 18&amp;35", C250&lt;51, "Btw 36&amp;50", C250&lt;66, "Btw 51&amp;65", C250&gt;=66," 66&amp;Above")</f>
        <v>Under 18</v>
      </c>
    </row>
    <row r="251" spans="1:16">
      <c r="A251" t="s">
        <v>532</v>
      </c>
      <c r="B251" t="s">
        <v>312</v>
      </c>
      <c r="C251">
        <v>55</v>
      </c>
      <c r="D251" t="s">
        <v>12</v>
      </c>
      <c r="E251" s="2">
        <v>45852</v>
      </c>
      <c r="F251" s="2">
        <v>45854</v>
      </c>
      <c r="G251" t="s">
        <v>60</v>
      </c>
      <c r="H251" t="s">
        <v>142</v>
      </c>
      <c r="I251" s="3">
        <v>2354.4899999999998</v>
      </c>
      <c r="J251" t="s">
        <v>25</v>
      </c>
      <c r="K251" s="4">
        <v>0.6</v>
      </c>
      <c r="L251" s="3">
        <f t="shared" si="12"/>
        <v>1412.6939999999997</v>
      </c>
      <c r="M251" s="3">
        <f t="shared" si="13"/>
        <v>941.79599999999994</v>
      </c>
      <c r="N251">
        <f t="shared" si="14"/>
        <v>2</v>
      </c>
      <c r="O251" s="3">
        <f t="shared" si="15"/>
        <v>0</v>
      </c>
      <c r="P251" t="str" cm="1">
        <f t="array" ref="P251">_xlfn.IFS(C251&lt;18, "Under 18", C251&lt;36, "Btw 18&amp;35", C251&lt;51, "Btw 36&amp;50", C251&lt;66, "Btw 51&amp;65", C251&gt;=66," 66&amp;Above")</f>
        <v>Btw 51&amp;65</v>
      </c>
    </row>
    <row r="252" spans="1:16">
      <c r="A252" t="s">
        <v>533</v>
      </c>
      <c r="B252" t="s">
        <v>514</v>
      </c>
      <c r="C252">
        <v>47</v>
      </c>
      <c r="D252" t="s">
        <v>18</v>
      </c>
      <c r="E252" s="2">
        <v>45916</v>
      </c>
      <c r="F252" s="2">
        <v>45919</v>
      </c>
      <c r="G252" t="s">
        <v>23</v>
      </c>
      <c r="H252" t="s">
        <v>24</v>
      </c>
      <c r="I252" s="3">
        <v>4854.92</v>
      </c>
      <c r="J252" t="s">
        <v>25</v>
      </c>
      <c r="K252" s="4">
        <v>0.7</v>
      </c>
      <c r="L252" s="3">
        <f t="shared" si="12"/>
        <v>3398.444</v>
      </c>
      <c r="M252" s="3">
        <f t="shared" si="13"/>
        <v>1456.4760000000003</v>
      </c>
      <c r="N252">
        <f t="shared" si="14"/>
        <v>3</v>
      </c>
      <c r="O252" s="3">
        <f t="shared" si="15"/>
        <v>0</v>
      </c>
      <c r="P252" t="str" cm="1">
        <f t="array" ref="P252">_xlfn.IFS(C252&lt;18, "Under 18", C252&lt;36, "Btw 18&amp;35", C252&lt;51, "Btw 36&amp;50", C252&lt;66, "Btw 51&amp;65", C252&gt;=66," 66&amp;Above")</f>
        <v>Btw 36&amp;50</v>
      </c>
    </row>
    <row r="253" spans="1:16">
      <c r="A253" t="s">
        <v>534</v>
      </c>
      <c r="B253" t="s">
        <v>272</v>
      </c>
      <c r="C253">
        <v>7</v>
      </c>
      <c r="D253" t="s">
        <v>18</v>
      </c>
      <c r="E253" s="2">
        <v>45478</v>
      </c>
      <c r="F253" s="2">
        <v>45480</v>
      </c>
      <c r="G253" t="s">
        <v>49</v>
      </c>
      <c r="H253" t="s">
        <v>378</v>
      </c>
      <c r="I253" s="3">
        <v>2341.4499999999998</v>
      </c>
      <c r="J253" t="s">
        <v>20</v>
      </c>
      <c r="K253" s="4">
        <v>0.9</v>
      </c>
      <c r="L253" s="3">
        <f t="shared" si="12"/>
        <v>2107.3049999999998</v>
      </c>
      <c r="M253" s="3">
        <f t="shared" si="13"/>
        <v>234.14499999999992</v>
      </c>
      <c r="N253">
        <f t="shared" si="14"/>
        <v>2</v>
      </c>
      <c r="O253" s="3">
        <f t="shared" si="15"/>
        <v>0</v>
      </c>
      <c r="P253" t="str" cm="1">
        <f t="array" ref="P253">_xlfn.IFS(C253&lt;18, "Under 18", C253&lt;36, "Btw 18&amp;35", C253&lt;51, "Btw 36&amp;50", C253&lt;66, "Btw 51&amp;65", C253&gt;=66," 66&amp;Above")</f>
        <v>Under 18</v>
      </c>
    </row>
    <row r="254" spans="1:16">
      <c r="A254" t="s">
        <v>535</v>
      </c>
      <c r="B254" t="s">
        <v>536</v>
      </c>
      <c r="C254">
        <v>8</v>
      </c>
      <c r="D254" t="s">
        <v>12</v>
      </c>
      <c r="E254" s="2">
        <v>45601</v>
      </c>
      <c r="F254" s="2">
        <v>45606</v>
      </c>
      <c r="G254" t="s">
        <v>49</v>
      </c>
      <c r="H254" t="s">
        <v>123</v>
      </c>
      <c r="I254" s="3">
        <v>6634.75</v>
      </c>
      <c r="J254" t="s">
        <v>20</v>
      </c>
      <c r="K254" s="4">
        <v>1</v>
      </c>
      <c r="L254" s="3">
        <f t="shared" si="12"/>
        <v>6634.75</v>
      </c>
      <c r="M254" s="3">
        <f t="shared" si="13"/>
        <v>0</v>
      </c>
      <c r="N254">
        <f t="shared" si="14"/>
        <v>5</v>
      </c>
      <c r="O254" s="3">
        <f t="shared" si="15"/>
        <v>0</v>
      </c>
      <c r="P254" t="str" cm="1">
        <f t="array" ref="P254">_xlfn.IFS(C254&lt;18, "Under 18", C254&lt;36, "Btw 18&amp;35", C254&lt;51, "Btw 36&amp;50", C254&lt;66, "Btw 51&amp;65", C254&gt;=66," 66&amp;Above")</f>
        <v>Under 18</v>
      </c>
    </row>
    <row r="255" spans="1:16">
      <c r="A255" t="s">
        <v>537</v>
      </c>
      <c r="B255" t="s">
        <v>538</v>
      </c>
      <c r="C255">
        <v>11</v>
      </c>
      <c r="D255" t="s">
        <v>18</v>
      </c>
      <c r="E255" s="2">
        <v>45770</v>
      </c>
      <c r="F255" s="2">
        <v>45773</v>
      </c>
      <c r="G255" t="s">
        <v>49</v>
      </c>
      <c r="H255" t="s">
        <v>120</v>
      </c>
      <c r="I255" s="3">
        <v>2307.54</v>
      </c>
      <c r="J255" t="s">
        <v>20</v>
      </c>
      <c r="K255" s="4">
        <v>0.7</v>
      </c>
      <c r="L255" s="3">
        <f t="shared" si="12"/>
        <v>1615.2779999999998</v>
      </c>
      <c r="M255" s="3">
        <f t="shared" si="13"/>
        <v>692.26200000000006</v>
      </c>
      <c r="N255">
        <f t="shared" si="14"/>
        <v>3</v>
      </c>
      <c r="O255" s="3">
        <f t="shared" si="15"/>
        <v>0</v>
      </c>
      <c r="P255" t="str" cm="1">
        <f t="array" ref="P255">_xlfn.IFS(C255&lt;18, "Under 18", C255&lt;36, "Btw 18&amp;35", C255&lt;51, "Btw 36&amp;50", C255&lt;66, "Btw 51&amp;65", C255&gt;=66," 66&amp;Above")</f>
        <v>Under 18</v>
      </c>
    </row>
    <row r="256" spans="1:16">
      <c r="A256" t="s">
        <v>539</v>
      </c>
      <c r="B256" t="s">
        <v>540</v>
      </c>
      <c r="C256">
        <v>29</v>
      </c>
      <c r="D256" t="s">
        <v>12</v>
      </c>
      <c r="E256" s="2">
        <v>45963</v>
      </c>
      <c r="F256" s="2">
        <v>45968</v>
      </c>
      <c r="G256" t="s">
        <v>31</v>
      </c>
      <c r="H256" t="s">
        <v>53</v>
      </c>
      <c r="I256" s="3">
        <v>6481.41</v>
      </c>
      <c r="J256" t="s">
        <v>25</v>
      </c>
      <c r="K256" s="4">
        <v>0.6</v>
      </c>
      <c r="L256" s="3">
        <f t="shared" si="12"/>
        <v>3888.8459999999995</v>
      </c>
      <c r="M256" s="3">
        <f t="shared" si="13"/>
        <v>2592.5640000000003</v>
      </c>
      <c r="N256">
        <f t="shared" si="14"/>
        <v>5</v>
      </c>
      <c r="O256" s="3">
        <f t="shared" si="15"/>
        <v>0</v>
      </c>
      <c r="P256" t="str" cm="1">
        <f t="array" ref="P256">_xlfn.IFS(C256&lt;18, "Under 18", C256&lt;36, "Btw 18&amp;35", C256&lt;51, "Btw 36&amp;50", C256&lt;66, "Btw 51&amp;65", C256&gt;=66," 66&amp;Above")</f>
        <v>Btw 18&amp;35</v>
      </c>
    </row>
    <row r="257" spans="1:16">
      <c r="A257" t="s">
        <v>541</v>
      </c>
      <c r="B257" t="s">
        <v>542</v>
      </c>
      <c r="C257">
        <v>43</v>
      </c>
      <c r="D257" t="s">
        <v>12</v>
      </c>
      <c r="E257" s="2">
        <v>45296</v>
      </c>
      <c r="F257" s="2">
        <v>45305</v>
      </c>
      <c r="G257" t="s">
        <v>13</v>
      </c>
      <c r="H257" t="s">
        <v>38</v>
      </c>
      <c r="I257" s="3">
        <v>14839.54</v>
      </c>
      <c r="J257" t="s">
        <v>25</v>
      </c>
      <c r="K257" s="4">
        <v>0.7</v>
      </c>
      <c r="L257" s="3">
        <f t="shared" si="12"/>
        <v>10387.678</v>
      </c>
      <c r="M257" s="3">
        <f t="shared" si="13"/>
        <v>4451.862000000001</v>
      </c>
      <c r="N257">
        <f t="shared" si="14"/>
        <v>9</v>
      </c>
      <c r="O257" s="3">
        <f t="shared" si="15"/>
        <v>0</v>
      </c>
      <c r="P257" t="str" cm="1">
        <f t="array" ref="P257">_xlfn.IFS(C257&lt;18, "Under 18", C257&lt;36, "Btw 18&amp;35", C257&lt;51, "Btw 36&amp;50", C257&lt;66, "Btw 51&amp;65", C257&gt;=66," 66&amp;Above")</f>
        <v>Btw 36&amp;50</v>
      </c>
    </row>
    <row r="258" spans="1:16">
      <c r="A258" t="s">
        <v>543</v>
      </c>
      <c r="B258" t="s">
        <v>544</v>
      </c>
      <c r="C258">
        <v>31</v>
      </c>
      <c r="D258" t="s">
        <v>18</v>
      </c>
      <c r="E258" s="2">
        <v>45982</v>
      </c>
      <c r="F258" s="2">
        <v>45987</v>
      </c>
      <c r="G258" t="s">
        <v>70</v>
      </c>
      <c r="H258" t="s">
        <v>94</v>
      </c>
      <c r="I258" s="3">
        <v>8724.32</v>
      </c>
      <c r="J258" t="s">
        <v>20</v>
      </c>
      <c r="K258" s="4">
        <v>0.8</v>
      </c>
      <c r="L258" s="3">
        <f t="shared" si="12"/>
        <v>6979.4560000000001</v>
      </c>
      <c r="M258" s="3">
        <f t="shared" si="13"/>
        <v>1744.8639999999996</v>
      </c>
      <c r="N258">
        <f t="shared" si="14"/>
        <v>5</v>
      </c>
      <c r="O258" s="3">
        <f t="shared" si="15"/>
        <v>0</v>
      </c>
      <c r="P258" t="str" cm="1">
        <f t="array" ref="P258">_xlfn.IFS(C258&lt;18, "Under 18", C258&lt;36, "Btw 18&amp;35", C258&lt;51, "Btw 36&amp;50", C258&lt;66, "Btw 51&amp;65", C258&gt;=66," 66&amp;Above")</f>
        <v>Btw 18&amp;35</v>
      </c>
    </row>
    <row r="259" spans="1:16">
      <c r="A259" t="s">
        <v>545</v>
      </c>
      <c r="B259" t="s">
        <v>546</v>
      </c>
      <c r="C259">
        <v>74</v>
      </c>
      <c r="D259" t="s">
        <v>18</v>
      </c>
      <c r="E259" s="2">
        <v>45764</v>
      </c>
      <c r="F259" s="2">
        <v>45770</v>
      </c>
      <c r="G259" t="s">
        <v>31</v>
      </c>
      <c r="H259" t="s">
        <v>32</v>
      </c>
      <c r="I259" s="3">
        <v>8724.0499999999993</v>
      </c>
      <c r="J259" t="s">
        <v>20</v>
      </c>
      <c r="K259" s="4">
        <v>0.5</v>
      </c>
      <c r="L259" s="3">
        <f t="shared" ref="L259:L322" si="16">I259*K259</f>
        <v>4362.0249999999996</v>
      </c>
      <c r="M259" s="3">
        <f t="shared" ref="M259:M322" si="17">(100%-K259)*I259</f>
        <v>4362.0249999999996</v>
      </c>
      <c r="N259">
        <f t="shared" ref="N259:N322" si="18">_xlfn.DAYS(F259,E259)</f>
        <v>6</v>
      </c>
      <c r="O259" s="3">
        <f t="shared" ref="O259:O322" si="19">IF(J259="Paid", I259, 0)</f>
        <v>0</v>
      </c>
      <c r="P259" t="str" cm="1">
        <f t="array" ref="P259">_xlfn.IFS(C259&lt;18, "Under 18", C259&lt;36, "Btw 18&amp;35", C259&lt;51, "Btw 36&amp;50", C259&lt;66, "Btw 51&amp;65", C259&gt;=66," 66&amp;Above")</f>
        <v xml:space="preserve"> 66&amp;Above</v>
      </c>
    </row>
    <row r="260" spans="1:16">
      <c r="A260" t="s">
        <v>547</v>
      </c>
      <c r="B260" t="s">
        <v>548</v>
      </c>
      <c r="C260">
        <v>60</v>
      </c>
      <c r="D260" t="s">
        <v>18</v>
      </c>
      <c r="E260" s="2">
        <v>45711</v>
      </c>
      <c r="F260" s="2">
        <v>45718</v>
      </c>
      <c r="G260" t="s">
        <v>13</v>
      </c>
      <c r="H260" t="s">
        <v>165</v>
      </c>
      <c r="I260" s="3">
        <v>12277.2</v>
      </c>
      <c r="J260" t="s">
        <v>15</v>
      </c>
      <c r="K260" s="4">
        <v>1</v>
      </c>
      <c r="L260" s="3">
        <f t="shared" si="16"/>
        <v>12277.2</v>
      </c>
      <c r="M260" s="3">
        <f t="shared" si="17"/>
        <v>0</v>
      </c>
      <c r="N260">
        <f t="shared" si="18"/>
        <v>7</v>
      </c>
      <c r="O260" s="3">
        <f t="shared" si="19"/>
        <v>12277.2</v>
      </c>
      <c r="P260" t="str" cm="1">
        <f t="array" ref="P260">_xlfn.IFS(C260&lt;18, "Under 18", C260&lt;36, "Btw 18&amp;35", C260&lt;51, "Btw 36&amp;50", C260&lt;66, "Btw 51&amp;65", C260&gt;=66," 66&amp;Above")</f>
        <v>Btw 51&amp;65</v>
      </c>
    </row>
    <row r="261" spans="1:16">
      <c r="A261" t="s">
        <v>549</v>
      </c>
      <c r="B261" t="s">
        <v>550</v>
      </c>
      <c r="C261">
        <v>82</v>
      </c>
      <c r="D261" t="s">
        <v>18</v>
      </c>
      <c r="E261" s="2">
        <v>45465</v>
      </c>
      <c r="F261" s="2">
        <v>45468</v>
      </c>
      <c r="G261" t="s">
        <v>23</v>
      </c>
      <c r="H261" t="s">
        <v>24</v>
      </c>
      <c r="I261" s="3">
        <v>7304.79</v>
      </c>
      <c r="J261" t="s">
        <v>15</v>
      </c>
      <c r="K261" s="4">
        <v>0.9</v>
      </c>
      <c r="L261" s="3">
        <f t="shared" si="16"/>
        <v>6574.3109999999997</v>
      </c>
      <c r="M261" s="3">
        <f t="shared" si="17"/>
        <v>730.47899999999981</v>
      </c>
      <c r="N261">
        <f t="shared" si="18"/>
        <v>3</v>
      </c>
      <c r="O261" s="3">
        <f t="shared" si="19"/>
        <v>7304.79</v>
      </c>
      <c r="P261" t="str" cm="1">
        <f t="array" ref="P261">_xlfn.IFS(C261&lt;18, "Under 18", C261&lt;36, "Btw 18&amp;35", C261&lt;51, "Btw 36&amp;50", C261&lt;66, "Btw 51&amp;65", C261&gt;=66," 66&amp;Above")</f>
        <v xml:space="preserve"> 66&amp;Above</v>
      </c>
    </row>
    <row r="262" spans="1:16">
      <c r="A262" t="s">
        <v>551</v>
      </c>
      <c r="B262" t="s">
        <v>127</v>
      </c>
      <c r="C262">
        <v>44</v>
      </c>
      <c r="D262" t="s">
        <v>18</v>
      </c>
      <c r="E262" s="2">
        <v>45682</v>
      </c>
      <c r="F262" s="2">
        <v>45685</v>
      </c>
      <c r="G262" t="s">
        <v>23</v>
      </c>
      <c r="H262" t="s">
        <v>41</v>
      </c>
      <c r="I262" s="3">
        <v>4042.99</v>
      </c>
      <c r="J262" t="s">
        <v>25</v>
      </c>
      <c r="K262" s="4">
        <v>1</v>
      </c>
      <c r="L262" s="3">
        <f t="shared" si="16"/>
        <v>4042.99</v>
      </c>
      <c r="M262" s="3">
        <f t="shared" si="17"/>
        <v>0</v>
      </c>
      <c r="N262">
        <f t="shared" si="18"/>
        <v>3</v>
      </c>
      <c r="O262" s="3">
        <f t="shared" si="19"/>
        <v>0</v>
      </c>
      <c r="P262" t="str" cm="1">
        <f t="array" ref="P262">_xlfn.IFS(C262&lt;18, "Under 18", C262&lt;36, "Btw 18&amp;35", C262&lt;51, "Btw 36&amp;50", C262&lt;66, "Btw 51&amp;65", C262&gt;=66," 66&amp;Above")</f>
        <v>Btw 36&amp;50</v>
      </c>
    </row>
    <row r="263" spans="1:16">
      <c r="A263" t="s">
        <v>552</v>
      </c>
      <c r="B263" t="s">
        <v>553</v>
      </c>
      <c r="C263">
        <v>25</v>
      </c>
      <c r="D263" t="s">
        <v>12</v>
      </c>
      <c r="E263" s="2">
        <v>45406</v>
      </c>
      <c r="F263" s="2">
        <v>45409</v>
      </c>
      <c r="G263" t="s">
        <v>31</v>
      </c>
      <c r="H263" t="s">
        <v>87</v>
      </c>
      <c r="I263" s="3">
        <v>2452.73</v>
      </c>
      <c r="J263" t="s">
        <v>25</v>
      </c>
      <c r="K263" s="4">
        <v>0</v>
      </c>
      <c r="L263" s="3">
        <f t="shared" si="16"/>
        <v>0</v>
      </c>
      <c r="M263" s="3">
        <f t="shared" si="17"/>
        <v>2452.73</v>
      </c>
      <c r="N263">
        <f t="shared" si="18"/>
        <v>3</v>
      </c>
      <c r="O263" s="3">
        <f t="shared" si="19"/>
        <v>0</v>
      </c>
      <c r="P263" t="str" cm="1">
        <f t="array" ref="P263">_xlfn.IFS(C263&lt;18, "Under 18", C263&lt;36, "Btw 18&amp;35", C263&lt;51, "Btw 36&amp;50", C263&lt;66, "Btw 51&amp;65", C263&gt;=66," 66&amp;Above")</f>
        <v>Btw 18&amp;35</v>
      </c>
    </row>
    <row r="264" spans="1:16">
      <c r="A264" t="s">
        <v>554</v>
      </c>
      <c r="B264" t="s">
        <v>555</v>
      </c>
      <c r="C264">
        <v>15</v>
      </c>
      <c r="D264" t="s">
        <v>18</v>
      </c>
      <c r="E264" s="2">
        <v>46010</v>
      </c>
      <c r="F264" s="2">
        <v>46012</v>
      </c>
      <c r="G264" t="s">
        <v>49</v>
      </c>
      <c r="H264" t="s">
        <v>130</v>
      </c>
      <c r="I264" s="3">
        <v>1535.75</v>
      </c>
      <c r="J264" t="s">
        <v>15</v>
      </c>
      <c r="K264" s="4">
        <v>0.9</v>
      </c>
      <c r="L264" s="3">
        <f t="shared" si="16"/>
        <v>1382.175</v>
      </c>
      <c r="M264" s="3">
        <f t="shared" si="17"/>
        <v>153.57499999999996</v>
      </c>
      <c r="N264">
        <f t="shared" si="18"/>
        <v>2</v>
      </c>
      <c r="O264" s="3">
        <f t="shared" si="19"/>
        <v>1535.75</v>
      </c>
      <c r="P264" t="str" cm="1">
        <f t="array" ref="P264">_xlfn.IFS(C264&lt;18, "Under 18", C264&lt;36, "Btw 18&amp;35", C264&lt;51, "Btw 36&amp;50", C264&lt;66, "Btw 51&amp;65", C264&gt;=66," 66&amp;Above")</f>
        <v>Under 18</v>
      </c>
    </row>
    <row r="265" spans="1:16">
      <c r="A265" t="s">
        <v>556</v>
      </c>
      <c r="B265" t="s">
        <v>191</v>
      </c>
      <c r="C265">
        <v>39</v>
      </c>
      <c r="D265" t="s">
        <v>18</v>
      </c>
      <c r="E265" s="2">
        <v>45591</v>
      </c>
      <c r="F265" s="2">
        <v>45592</v>
      </c>
      <c r="G265" t="s">
        <v>31</v>
      </c>
      <c r="H265" t="s">
        <v>114</v>
      </c>
      <c r="I265" s="3">
        <v>600.19000000000005</v>
      </c>
      <c r="J265" t="s">
        <v>15</v>
      </c>
      <c r="K265" s="4">
        <v>1</v>
      </c>
      <c r="L265" s="3">
        <f t="shared" si="16"/>
        <v>600.19000000000005</v>
      </c>
      <c r="M265" s="3">
        <f t="shared" si="17"/>
        <v>0</v>
      </c>
      <c r="N265">
        <f t="shared" si="18"/>
        <v>1</v>
      </c>
      <c r="O265" s="3">
        <f t="shared" si="19"/>
        <v>600.19000000000005</v>
      </c>
      <c r="P265" t="str" cm="1">
        <f t="array" ref="P265">_xlfn.IFS(C265&lt;18, "Under 18", C265&lt;36, "Btw 18&amp;35", C265&lt;51, "Btw 36&amp;50", C265&lt;66, "Btw 51&amp;65", C265&gt;=66," 66&amp;Above")</f>
        <v>Btw 36&amp;50</v>
      </c>
    </row>
    <row r="266" spans="1:16">
      <c r="A266" t="s">
        <v>557</v>
      </c>
      <c r="B266" t="s">
        <v>558</v>
      </c>
      <c r="C266">
        <v>73</v>
      </c>
      <c r="D266" t="s">
        <v>18</v>
      </c>
      <c r="E266" s="2">
        <v>45531</v>
      </c>
      <c r="F266" s="2">
        <v>45533</v>
      </c>
      <c r="G266" t="s">
        <v>23</v>
      </c>
      <c r="H266" t="s">
        <v>82</v>
      </c>
      <c r="I266" s="3">
        <v>2662.2</v>
      </c>
      <c r="J266" t="s">
        <v>15</v>
      </c>
      <c r="K266" s="4">
        <v>1</v>
      </c>
      <c r="L266" s="3">
        <f t="shared" si="16"/>
        <v>2662.2</v>
      </c>
      <c r="M266" s="3">
        <f t="shared" si="17"/>
        <v>0</v>
      </c>
      <c r="N266">
        <f t="shared" si="18"/>
        <v>2</v>
      </c>
      <c r="O266" s="3">
        <f t="shared" si="19"/>
        <v>2662.2</v>
      </c>
      <c r="P266" t="str" cm="1">
        <f t="array" ref="P266">_xlfn.IFS(C266&lt;18, "Under 18", C266&lt;36, "Btw 18&amp;35", C266&lt;51, "Btw 36&amp;50", C266&lt;66, "Btw 51&amp;65", C266&gt;=66," 66&amp;Above")</f>
        <v xml:space="preserve"> 66&amp;Above</v>
      </c>
    </row>
    <row r="267" spans="1:16">
      <c r="A267" t="s">
        <v>559</v>
      </c>
      <c r="B267" t="s">
        <v>560</v>
      </c>
      <c r="C267">
        <v>58</v>
      </c>
      <c r="D267" t="s">
        <v>12</v>
      </c>
      <c r="E267" s="2">
        <v>45770</v>
      </c>
      <c r="F267" s="2">
        <v>45773</v>
      </c>
      <c r="G267" t="s">
        <v>23</v>
      </c>
      <c r="H267" t="s">
        <v>24</v>
      </c>
      <c r="I267" s="3">
        <v>2947.4</v>
      </c>
      <c r="J267" t="s">
        <v>15</v>
      </c>
      <c r="K267" s="4">
        <v>0.9</v>
      </c>
      <c r="L267" s="3">
        <f t="shared" si="16"/>
        <v>2652.6600000000003</v>
      </c>
      <c r="M267" s="3">
        <f t="shared" si="17"/>
        <v>294.73999999999995</v>
      </c>
      <c r="N267">
        <f t="shared" si="18"/>
        <v>3</v>
      </c>
      <c r="O267" s="3">
        <f t="shared" si="19"/>
        <v>2947.4</v>
      </c>
      <c r="P267" t="str" cm="1">
        <f t="array" ref="P267">_xlfn.IFS(C267&lt;18, "Under 18", C267&lt;36, "Btw 18&amp;35", C267&lt;51, "Btw 36&amp;50", C267&lt;66, "Btw 51&amp;65", C267&gt;=66," 66&amp;Above")</f>
        <v>Btw 51&amp;65</v>
      </c>
    </row>
    <row r="268" spans="1:16">
      <c r="A268" t="s">
        <v>561</v>
      </c>
      <c r="B268" t="s">
        <v>562</v>
      </c>
      <c r="C268">
        <v>58</v>
      </c>
      <c r="D268" t="s">
        <v>12</v>
      </c>
      <c r="E268" s="2">
        <v>45815</v>
      </c>
      <c r="F268" s="2">
        <v>45818</v>
      </c>
      <c r="G268" t="s">
        <v>60</v>
      </c>
      <c r="H268" t="s">
        <v>133</v>
      </c>
      <c r="I268" s="3">
        <v>6487.43</v>
      </c>
      <c r="J268" t="s">
        <v>15</v>
      </c>
      <c r="K268" s="4">
        <v>0.8</v>
      </c>
      <c r="L268" s="3">
        <f t="shared" si="16"/>
        <v>5189.9440000000004</v>
      </c>
      <c r="M268" s="3">
        <f t="shared" si="17"/>
        <v>1297.4859999999999</v>
      </c>
      <c r="N268">
        <f t="shared" si="18"/>
        <v>3</v>
      </c>
      <c r="O268" s="3">
        <f t="shared" si="19"/>
        <v>6487.43</v>
      </c>
      <c r="P268" t="str" cm="1">
        <f t="array" ref="P268">_xlfn.IFS(C268&lt;18, "Under 18", C268&lt;36, "Btw 18&amp;35", C268&lt;51, "Btw 36&amp;50", C268&lt;66, "Btw 51&amp;65", C268&gt;=66," 66&amp;Above")</f>
        <v>Btw 51&amp;65</v>
      </c>
    </row>
    <row r="269" spans="1:16">
      <c r="A269" t="s">
        <v>563</v>
      </c>
      <c r="B269" t="s">
        <v>564</v>
      </c>
      <c r="C269">
        <v>78</v>
      </c>
      <c r="D269" t="s">
        <v>18</v>
      </c>
      <c r="E269" s="2">
        <v>45863</v>
      </c>
      <c r="F269" s="2">
        <v>45867</v>
      </c>
      <c r="G269" t="s">
        <v>13</v>
      </c>
      <c r="H269" t="s">
        <v>165</v>
      </c>
      <c r="I269" s="3">
        <v>5274.8</v>
      </c>
      <c r="J269" t="s">
        <v>15</v>
      </c>
      <c r="K269" s="4">
        <v>0.8</v>
      </c>
      <c r="L269" s="3">
        <f t="shared" si="16"/>
        <v>4219.84</v>
      </c>
      <c r="M269" s="3">
        <f t="shared" si="17"/>
        <v>1054.9599999999998</v>
      </c>
      <c r="N269">
        <f t="shared" si="18"/>
        <v>4</v>
      </c>
      <c r="O269" s="3">
        <f t="shared" si="19"/>
        <v>5274.8</v>
      </c>
      <c r="P269" t="str" cm="1">
        <f t="array" ref="P269">_xlfn.IFS(C269&lt;18, "Under 18", C269&lt;36, "Btw 18&amp;35", C269&lt;51, "Btw 36&amp;50", C269&lt;66, "Btw 51&amp;65", C269&gt;=66," 66&amp;Above")</f>
        <v xml:space="preserve"> 66&amp;Above</v>
      </c>
    </row>
    <row r="270" spans="1:16">
      <c r="A270" t="s">
        <v>565</v>
      </c>
      <c r="B270" t="s">
        <v>566</v>
      </c>
      <c r="C270">
        <v>56</v>
      </c>
      <c r="D270" t="s">
        <v>12</v>
      </c>
      <c r="E270" s="2">
        <v>45919</v>
      </c>
      <c r="F270" s="2">
        <v>45925</v>
      </c>
      <c r="G270" t="s">
        <v>13</v>
      </c>
      <c r="H270" t="s">
        <v>14</v>
      </c>
      <c r="I270" s="3">
        <v>17770.45</v>
      </c>
      <c r="J270" t="s">
        <v>15</v>
      </c>
      <c r="K270" s="4">
        <v>1</v>
      </c>
      <c r="L270" s="3">
        <f t="shared" si="16"/>
        <v>17770.45</v>
      </c>
      <c r="M270" s="3">
        <f t="shared" si="17"/>
        <v>0</v>
      </c>
      <c r="N270">
        <f t="shared" si="18"/>
        <v>6</v>
      </c>
      <c r="O270" s="3">
        <f t="shared" si="19"/>
        <v>17770.45</v>
      </c>
      <c r="P270" t="str" cm="1">
        <f t="array" ref="P270">_xlfn.IFS(C270&lt;18, "Under 18", C270&lt;36, "Btw 18&amp;35", C270&lt;51, "Btw 36&amp;50", C270&lt;66, "Btw 51&amp;65", C270&gt;=66," 66&amp;Above")</f>
        <v>Btw 51&amp;65</v>
      </c>
    </row>
    <row r="271" spans="1:16">
      <c r="A271" t="s">
        <v>567</v>
      </c>
      <c r="B271" t="s">
        <v>568</v>
      </c>
      <c r="C271">
        <v>50</v>
      </c>
      <c r="D271" t="s">
        <v>18</v>
      </c>
      <c r="E271" s="2">
        <v>45989</v>
      </c>
      <c r="F271" s="2">
        <v>46003</v>
      </c>
      <c r="G271" t="s">
        <v>60</v>
      </c>
      <c r="H271" t="s">
        <v>133</v>
      </c>
      <c r="I271" s="3">
        <v>38493.53</v>
      </c>
      <c r="J271" t="s">
        <v>15</v>
      </c>
      <c r="K271" s="4">
        <v>0</v>
      </c>
      <c r="L271" s="3">
        <f t="shared" si="16"/>
        <v>0</v>
      </c>
      <c r="M271" s="3">
        <f t="shared" si="17"/>
        <v>38493.53</v>
      </c>
      <c r="N271">
        <f t="shared" si="18"/>
        <v>14</v>
      </c>
      <c r="O271" s="3">
        <f t="shared" si="19"/>
        <v>38493.53</v>
      </c>
      <c r="P271" t="str" cm="1">
        <f t="array" ref="P271">_xlfn.IFS(C271&lt;18, "Under 18", C271&lt;36, "Btw 18&amp;35", C271&lt;51, "Btw 36&amp;50", C271&lt;66, "Btw 51&amp;65", C271&gt;=66," 66&amp;Above")</f>
        <v>Btw 36&amp;50</v>
      </c>
    </row>
    <row r="272" spans="1:16">
      <c r="A272" t="s">
        <v>569</v>
      </c>
      <c r="B272" t="s">
        <v>570</v>
      </c>
      <c r="C272">
        <v>71</v>
      </c>
      <c r="D272" t="s">
        <v>18</v>
      </c>
      <c r="E272" s="2">
        <v>45366</v>
      </c>
      <c r="F272" s="2">
        <v>45369</v>
      </c>
      <c r="G272" t="s">
        <v>31</v>
      </c>
      <c r="H272" t="s">
        <v>32</v>
      </c>
      <c r="I272" s="3">
        <v>3136.05</v>
      </c>
      <c r="J272" t="s">
        <v>15</v>
      </c>
      <c r="K272" s="4">
        <v>0.9</v>
      </c>
      <c r="L272" s="3">
        <f t="shared" si="16"/>
        <v>2822.4450000000002</v>
      </c>
      <c r="M272" s="3">
        <f t="shared" si="17"/>
        <v>313.60499999999996</v>
      </c>
      <c r="N272">
        <f t="shared" si="18"/>
        <v>3</v>
      </c>
      <c r="O272" s="3">
        <f t="shared" si="19"/>
        <v>3136.05</v>
      </c>
      <c r="P272" t="str" cm="1">
        <f t="array" ref="P272">_xlfn.IFS(C272&lt;18, "Under 18", C272&lt;36, "Btw 18&amp;35", C272&lt;51, "Btw 36&amp;50", C272&lt;66, "Btw 51&amp;65", C272&gt;=66," 66&amp;Above")</f>
        <v xml:space="preserve"> 66&amp;Above</v>
      </c>
    </row>
    <row r="273" spans="1:16">
      <c r="A273" t="s">
        <v>571</v>
      </c>
      <c r="B273" t="s">
        <v>101</v>
      </c>
      <c r="C273">
        <v>41</v>
      </c>
      <c r="D273" t="s">
        <v>18</v>
      </c>
      <c r="E273" s="2">
        <v>45999</v>
      </c>
      <c r="F273" s="2">
        <v>46009</v>
      </c>
      <c r="G273" t="s">
        <v>13</v>
      </c>
      <c r="H273" t="s">
        <v>102</v>
      </c>
      <c r="I273" s="3">
        <v>28492.22</v>
      </c>
      <c r="J273" t="s">
        <v>15</v>
      </c>
      <c r="K273" s="4">
        <v>0.9</v>
      </c>
      <c r="L273" s="3">
        <f t="shared" si="16"/>
        <v>25642.998000000003</v>
      </c>
      <c r="M273" s="3">
        <f t="shared" si="17"/>
        <v>2849.2219999999993</v>
      </c>
      <c r="N273">
        <f t="shared" si="18"/>
        <v>10</v>
      </c>
      <c r="O273" s="3">
        <f t="shared" si="19"/>
        <v>28492.22</v>
      </c>
      <c r="P273" t="str" cm="1">
        <f t="array" ref="P273">_xlfn.IFS(C273&lt;18, "Under 18", C273&lt;36, "Btw 18&amp;35", C273&lt;51, "Btw 36&amp;50", C273&lt;66, "Btw 51&amp;65", C273&gt;=66," 66&amp;Above")</f>
        <v>Btw 36&amp;50</v>
      </c>
    </row>
    <row r="274" spans="1:16">
      <c r="A274" t="s">
        <v>572</v>
      </c>
      <c r="B274" t="s">
        <v>573</v>
      </c>
      <c r="C274">
        <v>47</v>
      </c>
      <c r="D274" t="s">
        <v>12</v>
      </c>
      <c r="E274" s="2">
        <v>45705</v>
      </c>
      <c r="F274" s="2">
        <v>45713</v>
      </c>
      <c r="G274" t="s">
        <v>13</v>
      </c>
      <c r="H274" t="s">
        <v>111</v>
      </c>
      <c r="I274" s="3">
        <v>11794.68</v>
      </c>
      <c r="J274" t="s">
        <v>25</v>
      </c>
      <c r="K274" s="4">
        <v>0.7</v>
      </c>
      <c r="L274" s="3">
        <f t="shared" si="16"/>
        <v>8256.2759999999998</v>
      </c>
      <c r="M274" s="3">
        <f t="shared" si="17"/>
        <v>3538.4040000000005</v>
      </c>
      <c r="N274">
        <f t="shared" si="18"/>
        <v>8</v>
      </c>
      <c r="O274" s="3">
        <f t="shared" si="19"/>
        <v>0</v>
      </c>
      <c r="P274" t="str" cm="1">
        <f t="array" ref="P274">_xlfn.IFS(C274&lt;18, "Under 18", C274&lt;36, "Btw 18&amp;35", C274&lt;51, "Btw 36&amp;50", C274&lt;66, "Btw 51&amp;65", C274&gt;=66," 66&amp;Above")</f>
        <v>Btw 36&amp;50</v>
      </c>
    </row>
    <row r="275" spans="1:16">
      <c r="A275" t="s">
        <v>574</v>
      </c>
      <c r="B275" t="s">
        <v>198</v>
      </c>
      <c r="C275">
        <v>16</v>
      </c>
      <c r="D275" t="s">
        <v>18</v>
      </c>
      <c r="E275" s="2">
        <v>45634</v>
      </c>
      <c r="F275" s="2">
        <v>45638</v>
      </c>
      <c r="G275" t="s">
        <v>49</v>
      </c>
      <c r="H275" t="s">
        <v>123</v>
      </c>
      <c r="I275" s="3">
        <v>5980.76</v>
      </c>
      <c r="J275" t="s">
        <v>15</v>
      </c>
      <c r="K275" s="4">
        <v>0.8</v>
      </c>
      <c r="L275" s="3">
        <f t="shared" si="16"/>
        <v>4784.6080000000002</v>
      </c>
      <c r="M275" s="3">
        <f t="shared" si="17"/>
        <v>1196.1519999999998</v>
      </c>
      <c r="N275">
        <f t="shared" si="18"/>
        <v>4</v>
      </c>
      <c r="O275" s="3">
        <f t="shared" si="19"/>
        <v>5980.76</v>
      </c>
      <c r="P275" t="str" cm="1">
        <f t="array" ref="P275">_xlfn.IFS(C275&lt;18, "Under 18", C275&lt;36, "Btw 18&amp;35", C275&lt;51, "Btw 36&amp;50", C275&lt;66, "Btw 51&amp;65", C275&gt;=66," 66&amp;Above")</f>
        <v>Under 18</v>
      </c>
    </row>
    <row r="276" spans="1:16">
      <c r="A276" t="s">
        <v>575</v>
      </c>
      <c r="B276" t="s">
        <v>22</v>
      </c>
      <c r="C276">
        <v>56</v>
      </c>
      <c r="D276" t="s">
        <v>18</v>
      </c>
      <c r="E276" s="2">
        <v>45912</v>
      </c>
      <c r="F276" s="2">
        <v>45923</v>
      </c>
      <c r="G276" t="s">
        <v>70</v>
      </c>
      <c r="H276" t="s">
        <v>295</v>
      </c>
      <c r="I276" s="3">
        <v>16835.150000000001</v>
      </c>
      <c r="J276" t="s">
        <v>15</v>
      </c>
      <c r="K276" s="4">
        <v>1</v>
      </c>
      <c r="L276" s="3">
        <f t="shared" si="16"/>
        <v>16835.150000000001</v>
      </c>
      <c r="M276" s="3">
        <f t="shared" si="17"/>
        <v>0</v>
      </c>
      <c r="N276">
        <f t="shared" si="18"/>
        <v>11</v>
      </c>
      <c r="O276" s="3">
        <f t="shared" si="19"/>
        <v>16835.150000000001</v>
      </c>
      <c r="P276" t="str" cm="1">
        <f t="array" ref="P276">_xlfn.IFS(C276&lt;18, "Under 18", C276&lt;36, "Btw 18&amp;35", C276&lt;51, "Btw 36&amp;50", C276&lt;66, "Btw 51&amp;65", C276&gt;=66," 66&amp;Above")</f>
        <v>Btw 51&amp;65</v>
      </c>
    </row>
    <row r="277" spans="1:16">
      <c r="A277" t="s">
        <v>576</v>
      </c>
      <c r="B277" t="s">
        <v>577</v>
      </c>
      <c r="C277">
        <v>69</v>
      </c>
      <c r="D277" t="s">
        <v>18</v>
      </c>
      <c r="E277" s="2">
        <v>45933</v>
      </c>
      <c r="F277" s="2">
        <v>45937</v>
      </c>
      <c r="G277" t="s">
        <v>31</v>
      </c>
      <c r="H277" t="s">
        <v>114</v>
      </c>
      <c r="I277" s="3">
        <v>2837.18</v>
      </c>
      <c r="J277" t="s">
        <v>25</v>
      </c>
      <c r="K277" s="4">
        <v>1</v>
      </c>
      <c r="L277" s="3">
        <f t="shared" si="16"/>
        <v>2837.18</v>
      </c>
      <c r="M277" s="3">
        <f t="shared" si="17"/>
        <v>0</v>
      </c>
      <c r="N277">
        <f t="shared" si="18"/>
        <v>4</v>
      </c>
      <c r="O277" s="3">
        <f t="shared" si="19"/>
        <v>0</v>
      </c>
      <c r="P277" t="str" cm="1">
        <f t="array" ref="P277">_xlfn.IFS(C277&lt;18, "Under 18", C277&lt;36, "Btw 18&amp;35", C277&lt;51, "Btw 36&amp;50", C277&lt;66, "Btw 51&amp;65", C277&gt;=66," 66&amp;Above")</f>
        <v xml:space="preserve"> 66&amp;Above</v>
      </c>
    </row>
    <row r="278" spans="1:16">
      <c r="A278" t="s">
        <v>578</v>
      </c>
      <c r="B278" t="s">
        <v>579</v>
      </c>
      <c r="C278">
        <v>39</v>
      </c>
      <c r="D278" t="s">
        <v>18</v>
      </c>
      <c r="E278" s="2">
        <v>45778</v>
      </c>
      <c r="F278" s="2">
        <v>45785</v>
      </c>
      <c r="G278" t="s">
        <v>31</v>
      </c>
      <c r="H278" t="s">
        <v>35</v>
      </c>
      <c r="I278" s="3">
        <v>5652.05</v>
      </c>
      <c r="J278" t="s">
        <v>20</v>
      </c>
      <c r="K278" s="4">
        <v>0</v>
      </c>
      <c r="L278" s="3">
        <f t="shared" si="16"/>
        <v>0</v>
      </c>
      <c r="M278" s="3">
        <f t="shared" si="17"/>
        <v>5652.05</v>
      </c>
      <c r="N278">
        <f t="shared" si="18"/>
        <v>7</v>
      </c>
      <c r="O278" s="3">
        <f t="shared" si="19"/>
        <v>0</v>
      </c>
      <c r="P278" t="str" cm="1">
        <f t="array" ref="P278">_xlfn.IFS(C278&lt;18, "Under 18", C278&lt;36, "Btw 18&amp;35", C278&lt;51, "Btw 36&amp;50", C278&lt;66, "Btw 51&amp;65", C278&gt;=66," 66&amp;Above")</f>
        <v>Btw 36&amp;50</v>
      </c>
    </row>
    <row r="279" spans="1:16">
      <c r="A279" t="s">
        <v>580</v>
      </c>
      <c r="B279" t="s">
        <v>581</v>
      </c>
      <c r="C279">
        <v>51</v>
      </c>
      <c r="D279" t="s">
        <v>18</v>
      </c>
      <c r="E279" s="2">
        <v>45348</v>
      </c>
      <c r="F279" s="2">
        <v>45356</v>
      </c>
      <c r="G279" t="s">
        <v>13</v>
      </c>
      <c r="H279" t="s">
        <v>14</v>
      </c>
      <c r="I279" s="3">
        <v>15284.52</v>
      </c>
      <c r="J279" t="s">
        <v>15</v>
      </c>
      <c r="K279" s="4">
        <v>0.9</v>
      </c>
      <c r="L279" s="3">
        <f t="shared" si="16"/>
        <v>13756.068000000001</v>
      </c>
      <c r="M279" s="3">
        <f t="shared" si="17"/>
        <v>1528.4519999999998</v>
      </c>
      <c r="N279">
        <f t="shared" si="18"/>
        <v>8</v>
      </c>
      <c r="O279" s="3">
        <f t="shared" si="19"/>
        <v>15284.52</v>
      </c>
      <c r="P279" t="str" cm="1">
        <f t="array" ref="P279">_xlfn.IFS(C279&lt;18, "Under 18", C279&lt;36, "Btw 18&amp;35", C279&lt;51, "Btw 36&amp;50", C279&lt;66, "Btw 51&amp;65", C279&gt;=66," 66&amp;Above")</f>
        <v>Btw 51&amp;65</v>
      </c>
    </row>
    <row r="280" spans="1:16">
      <c r="A280" t="s">
        <v>582</v>
      </c>
      <c r="B280" t="s">
        <v>583</v>
      </c>
      <c r="C280">
        <v>22</v>
      </c>
      <c r="D280" t="s">
        <v>12</v>
      </c>
      <c r="E280" s="2">
        <v>45465</v>
      </c>
      <c r="F280" s="2">
        <v>45470</v>
      </c>
      <c r="G280" t="s">
        <v>31</v>
      </c>
      <c r="H280" t="s">
        <v>44</v>
      </c>
      <c r="I280" s="3">
        <v>6837.91</v>
      </c>
      <c r="J280" t="s">
        <v>20</v>
      </c>
      <c r="K280" s="4">
        <v>0.8</v>
      </c>
      <c r="L280" s="3">
        <f t="shared" si="16"/>
        <v>5470.3280000000004</v>
      </c>
      <c r="M280" s="3">
        <f t="shared" si="17"/>
        <v>1367.5819999999997</v>
      </c>
      <c r="N280">
        <f t="shared" si="18"/>
        <v>5</v>
      </c>
      <c r="O280" s="3">
        <f t="shared" si="19"/>
        <v>0</v>
      </c>
      <c r="P280" t="str" cm="1">
        <f t="array" ref="P280">_xlfn.IFS(C280&lt;18, "Under 18", C280&lt;36, "Btw 18&amp;35", C280&lt;51, "Btw 36&amp;50", C280&lt;66, "Btw 51&amp;65", C280&gt;=66," 66&amp;Above")</f>
        <v>Btw 18&amp;35</v>
      </c>
    </row>
    <row r="281" spans="1:16">
      <c r="A281" t="s">
        <v>584</v>
      </c>
      <c r="B281" t="s">
        <v>585</v>
      </c>
      <c r="C281">
        <v>27</v>
      </c>
      <c r="D281" t="s">
        <v>18</v>
      </c>
      <c r="E281" s="2">
        <v>45853</v>
      </c>
      <c r="F281" s="2">
        <v>45863</v>
      </c>
      <c r="G281" t="s">
        <v>60</v>
      </c>
      <c r="H281" t="s">
        <v>74</v>
      </c>
      <c r="I281" s="3">
        <v>16726.009999999998</v>
      </c>
      <c r="J281" t="s">
        <v>15</v>
      </c>
      <c r="K281" s="4">
        <v>0.8</v>
      </c>
      <c r="L281" s="3">
        <f t="shared" si="16"/>
        <v>13380.807999999999</v>
      </c>
      <c r="M281" s="3">
        <f t="shared" si="17"/>
        <v>3345.2019999999989</v>
      </c>
      <c r="N281">
        <f t="shared" si="18"/>
        <v>10</v>
      </c>
      <c r="O281" s="3">
        <f t="shared" si="19"/>
        <v>16726.009999999998</v>
      </c>
      <c r="P281" t="str" cm="1">
        <f t="array" ref="P281">_xlfn.IFS(C281&lt;18, "Under 18", C281&lt;36, "Btw 18&amp;35", C281&lt;51, "Btw 36&amp;50", C281&lt;66, "Btw 51&amp;65", C281&gt;=66," 66&amp;Above")</f>
        <v>Btw 18&amp;35</v>
      </c>
    </row>
    <row r="282" spans="1:16">
      <c r="A282" t="s">
        <v>586</v>
      </c>
      <c r="B282" t="s">
        <v>587</v>
      </c>
      <c r="C282">
        <v>85</v>
      </c>
      <c r="D282" t="s">
        <v>18</v>
      </c>
      <c r="E282" s="2">
        <v>45547</v>
      </c>
      <c r="F282" s="2">
        <v>45553</v>
      </c>
      <c r="G282" t="s">
        <v>13</v>
      </c>
      <c r="H282" t="s">
        <v>111</v>
      </c>
      <c r="I282" s="3">
        <v>17937.11</v>
      </c>
      <c r="J282" t="s">
        <v>25</v>
      </c>
      <c r="K282" s="4">
        <v>0.7</v>
      </c>
      <c r="L282" s="3">
        <f t="shared" si="16"/>
        <v>12555.976999999999</v>
      </c>
      <c r="M282" s="3">
        <f t="shared" si="17"/>
        <v>5381.1330000000007</v>
      </c>
      <c r="N282">
        <f t="shared" si="18"/>
        <v>6</v>
      </c>
      <c r="O282" s="3">
        <f t="shared" si="19"/>
        <v>0</v>
      </c>
      <c r="P282" t="str" cm="1">
        <f t="array" ref="P282">_xlfn.IFS(C282&lt;18, "Under 18", C282&lt;36, "Btw 18&amp;35", C282&lt;51, "Btw 36&amp;50", C282&lt;66, "Btw 51&amp;65", C282&gt;=66," 66&amp;Above")</f>
        <v xml:space="preserve"> 66&amp;Above</v>
      </c>
    </row>
    <row r="283" spans="1:16">
      <c r="A283" t="s">
        <v>588</v>
      </c>
      <c r="B283" t="s">
        <v>589</v>
      </c>
      <c r="C283">
        <v>33</v>
      </c>
      <c r="D283" t="s">
        <v>12</v>
      </c>
      <c r="E283" s="2">
        <v>45601</v>
      </c>
      <c r="F283" s="2">
        <v>45615</v>
      </c>
      <c r="G283" t="s">
        <v>60</v>
      </c>
      <c r="H283" t="s">
        <v>142</v>
      </c>
      <c r="I283" s="3">
        <v>27571.59</v>
      </c>
      <c r="J283" t="s">
        <v>15</v>
      </c>
      <c r="K283" s="4">
        <v>0.9</v>
      </c>
      <c r="L283" s="3">
        <f t="shared" si="16"/>
        <v>24814.431</v>
      </c>
      <c r="M283" s="3">
        <f t="shared" si="17"/>
        <v>2757.1589999999992</v>
      </c>
      <c r="N283">
        <f t="shared" si="18"/>
        <v>14</v>
      </c>
      <c r="O283" s="3">
        <f t="shared" si="19"/>
        <v>27571.59</v>
      </c>
      <c r="P283" t="str" cm="1">
        <f t="array" ref="P283">_xlfn.IFS(C283&lt;18, "Under 18", C283&lt;36, "Btw 18&amp;35", C283&lt;51, "Btw 36&amp;50", C283&lt;66, "Btw 51&amp;65", C283&gt;=66," 66&amp;Above")</f>
        <v>Btw 18&amp;35</v>
      </c>
    </row>
    <row r="284" spans="1:16">
      <c r="A284" t="s">
        <v>590</v>
      </c>
      <c r="B284" t="s">
        <v>101</v>
      </c>
      <c r="C284">
        <v>83</v>
      </c>
      <c r="D284" t="s">
        <v>18</v>
      </c>
      <c r="E284" s="2">
        <v>45589</v>
      </c>
      <c r="F284" s="2">
        <v>45595</v>
      </c>
      <c r="G284" t="s">
        <v>13</v>
      </c>
      <c r="H284" t="s">
        <v>111</v>
      </c>
      <c r="I284" s="3">
        <v>13621.44</v>
      </c>
      <c r="J284" t="s">
        <v>25</v>
      </c>
      <c r="K284" s="4">
        <v>0.7</v>
      </c>
      <c r="L284" s="3">
        <f t="shared" si="16"/>
        <v>9535.0079999999998</v>
      </c>
      <c r="M284" s="3">
        <f t="shared" si="17"/>
        <v>4086.4320000000007</v>
      </c>
      <c r="N284">
        <f t="shared" si="18"/>
        <v>6</v>
      </c>
      <c r="O284" s="3">
        <f t="shared" si="19"/>
        <v>0</v>
      </c>
      <c r="P284" t="str" cm="1">
        <f t="array" ref="P284">_xlfn.IFS(C284&lt;18, "Under 18", C284&lt;36, "Btw 18&amp;35", C284&lt;51, "Btw 36&amp;50", C284&lt;66, "Btw 51&amp;65", C284&gt;=66," 66&amp;Above")</f>
        <v xml:space="preserve"> 66&amp;Above</v>
      </c>
    </row>
    <row r="285" spans="1:16">
      <c r="A285" t="s">
        <v>591</v>
      </c>
      <c r="B285" t="s">
        <v>592</v>
      </c>
      <c r="C285">
        <v>54</v>
      </c>
      <c r="D285" t="s">
        <v>12</v>
      </c>
      <c r="E285" s="2">
        <v>45579</v>
      </c>
      <c r="F285" s="2">
        <v>45584</v>
      </c>
      <c r="G285" t="s">
        <v>70</v>
      </c>
      <c r="H285" t="s">
        <v>295</v>
      </c>
      <c r="I285" s="3">
        <v>7553.52</v>
      </c>
      <c r="J285" t="s">
        <v>15</v>
      </c>
      <c r="K285" s="4">
        <v>0.5</v>
      </c>
      <c r="L285" s="3">
        <f t="shared" si="16"/>
        <v>3776.76</v>
      </c>
      <c r="M285" s="3">
        <f t="shared" si="17"/>
        <v>3776.76</v>
      </c>
      <c r="N285">
        <f t="shared" si="18"/>
        <v>5</v>
      </c>
      <c r="O285" s="3">
        <f t="shared" si="19"/>
        <v>7553.52</v>
      </c>
      <c r="P285" t="str" cm="1">
        <f t="array" ref="P285">_xlfn.IFS(C285&lt;18, "Under 18", C285&lt;36, "Btw 18&amp;35", C285&lt;51, "Btw 36&amp;50", C285&lt;66, "Btw 51&amp;65", C285&gt;=66," 66&amp;Above")</f>
        <v>Btw 51&amp;65</v>
      </c>
    </row>
    <row r="286" spans="1:16">
      <c r="A286" t="s">
        <v>593</v>
      </c>
      <c r="B286" t="s">
        <v>594</v>
      </c>
      <c r="C286">
        <v>53</v>
      </c>
      <c r="D286" t="s">
        <v>18</v>
      </c>
      <c r="E286" s="2">
        <v>45612</v>
      </c>
      <c r="F286" s="2">
        <v>45625</v>
      </c>
      <c r="G286" t="s">
        <v>60</v>
      </c>
      <c r="H286" t="s">
        <v>133</v>
      </c>
      <c r="I286" s="3">
        <v>34671.78</v>
      </c>
      <c r="J286" t="s">
        <v>15</v>
      </c>
      <c r="K286" s="4">
        <v>0.6</v>
      </c>
      <c r="L286" s="3">
        <f t="shared" si="16"/>
        <v>20803.067999999999</v>
      </c>
      <c r="M286" s="3">
        <f t="shared" si="17"/>
        <v>13868.712</v>
      </c>
      <c r="N286">
        <f t="shared" si="18"/>
        <v>13</v>
      </c>
      <c r="O286" s="3">
        <f t="shared" si="19"/>
        <v>34671.78</v>
      </c>
      <c r="P286" t="str" cm="1">
        <f t="array" ref="P286">_xlfn.IFS(C286&lt;18, "Under 18", C286&lt;36, "Btw 18&amp;35", C286&lt;51, "Btw 36&amp;50", C286&lt;66, "Btw 51&amp;65", C286&gt;=66," 66&amp;Above")</f>
        <v>Btw 51&amp;65</v>
      </c>
    </row>
    <row r="287" spans="1:16">
      <c r="A287" t="s">
        <v>595</v>
      </c>
      <c r="B287" t="s">
        <v>596</v>
      </c>
      <c r="C287">
        <v>81</v>
      </c>
      <c r="D287" t="s">
        <v>12</v>
      </c>
      <c r="E287" s="2">
        <v>45868</v>
      </c>
      <c r="F287" s="2">
        <v>45873</v>
      </c>
      <c r="G287" t="s">
        <v>13</v>
      </c>
      <c r="H287" t="s">
        <v>111</v>
      </c>
      <c r="I287" s="3">
        <v>13674.29</v>
      </c>
      <c r="J287" t="s">
        <v>15</v>
      </c>
      <c r="K287" s="4">
        <v>0.8</v>
      </c>
      <c r="L287" s="3">
        <f t="shared" si="16"/>
        <v>10939.432000000001</v>
      </c>
      <c r="M287" s="3">
        <f t="shared" si="17"/>
        <v>2734.8579999999997</v>
      </c>
      <c r="N287">
        <f t="shared" si="18"/>
        <v>5</v>
      </c>
      <c r="O287" s="3">
        <f t="shared" si="19"/>
        <v>13674.29</v>
      </c>
      <c r="P287" t="str" cm="1">
        <f t="array" ref="P287">_xlfn.IFS(C287&lt;18, "Under 18", C287&lt;36, "Btw 18&amp;35", C287&lt;51, "Btw 36&amp;50", C287&lt;66, "Btw 51&amp;65", C287&gt;=66," 66&amp;Above")</f>
        <v xml:space="preserve"> 66&amp;Above</v>
      </c>
    </row>
    <row r="288" spans="1:16">
      <c r="A288" t="s">
        <v>597</v>
      </c>
      <c r="B288" t="s">
        <v>598</v>
      </c>
      <c r="C288">
        <v>31</v>
      </c>
      <c r="D288" t="s">
        <v>18</v>
      </c>
      <c r="E288" s="2">
        <v>45706</v>
      </c>
      <c r="F288" s="2">
        <v>45716</v>
      </c>
      <c r="G288" t="s">
        <v>70</v>
      </c>
      <c r="H288" t="s">
        <v>157</v>
      </c>
      <c r="I288" s="3">
        <v>18872.25</v>
      </c>
      <c r="J288" t="s">
        <v>15</v>
      </c>
      <c r="K288" s="4">
        <v>1</v>
      </c>
      <c r="L288" s="3">
        <f t="shared" si="16"/>
        <v>18872.25</v>
      </c>
      <c r="M288" s="3">
        <f t="shared" si="17"/>
        <v>0</v>
      </c>
      <c r="N288">
        <f t="shared" si="18"/>
        <v>10</v>
      </c>
      <c r="O288" s="3">
        <f t="shared" si="19"/>
        <v>18872.25</v>
      </c>
      <c r="P288" t="str" cm="1">
        <f t="array" ref="P288">_xlfn.IFS(C288&lt;18, "Under 18", C288&lt;36, "Btw 18&amp;35", C288&lt;51, "Btw 36&amp;50", C288&lt;66, "Btw 51&amp;65", C288&gt;=66," 66&amp;Above")</f>
        <v>Btw 18&amp;35</v>
      </c>
    </row>
    <row r="289" spans="1:16">
      <c r="A289" t="s">
        <v>599</v>
      </c>
      <c r="B289" t="s">
        <v>600</v>
      </c>
      <c r="C289">
        <v>22</v>
      </c>
      <c r="D289" t="s">
        <v>12</v>
      </c>
      <c r="E289" s="2">
        <v>45648</v>
      </c>
      <c r="F289" s="2">
        <v>45654</v>
      </c>
      <c r="G289" t="s">
        <v>31</v>
      </c>
      <c r="H289" t="s">
        <v>44</v>
      </c>
      <c r="I289" s="3">
        <v>8363.1</v>
      </c>
      <c r="J289" t="s">
        <v>25</v>
      </c>
      <c r="K289" s="4">
        <v>0.6</v>
      </c>
      <c r="L289" s="3">
        <f t="shared" si="16"/>
        <v>5017.8599999999997</v>
      </c>
      <c r="M289" s="3">
        <f t="shared" si="17"/>
        <v>3345.2400000000002</v>
      </c>
      <c r="N289">
        <f t="shared" si="18"/>
        <v>6</v>
      </c>
      <c r="O289" s="3">
        <f t="shared" si="19"/>
        <v>0</v>
      </c>
      <c r="P289" t="str" cm="1">
        <f t="array" ref="P289">_xlfn.IFS(C289&lt;18, "Under 18", C289&lt;36, "Btw 18&amp;35", C289&lt;51, "Btw 36&amp;50", C289&lt;66, "Btw 51&amp;65", C289&gt;=66," 66&amp;Above")</f>
        <v>Btw 18&amp;35</v>
      </c>
    </row>
    <row r="290" spans="1:16">
      <c r="A290" t="s">
        <v>601</v>
      </c>
      <c r="B290" t="s">
        <v>602</v>
      </c>
      <c r="C290">
        <v>1</v>
      </c>
      <c r="D290" t="s">
        <v>12</v>
      </c>
      <c r="E290" s="2">
        <v>45990</v>
      </c>
      <c r="F290" s="2">
        <v>45993</v>
      </c>
      <c r="G290" t="s">
        <v>49</v>
      </c>
      <c r="H290" t="s">
        <v>120</v>
      </c>
      <c r="I290" s="3">
        <v>3886.44</v>
      </c>
      <c r="J290" t="s">
        <v>15</v>
      </c>
      <c r="K290" s="4">
        <v>0.9</v>
      </c>
      <c r="L290" s="3">
        <f t="shared" si="16"/>
        <v>3497.7960000000003</v>
      </c>
      <c r="M290" s="3">
        <f t="shared" si="17"/>
        <v>388.64399999999989</v>
      </c>
      <c r="N290">
        <f t="shared" si="18"/>
        <v>3</v>
      </c>
      <c r="O290" s="3">
        <f t="shared" si="19"/>
        <v>3886.44</v>
      </c>
      <c r="P290" t="str" cm="1">
        <f t="array" ref="P290">_xlfn.IFS(C290&lt;18, "Under 18", C290&lt;36, "Btw 18&amp;35", C290&lt;51, "Btw 36&amp;50", C290&lt;66, "Btw 51&amp;65", C290&gt;=66," 66&amp;Above")</f>
        <v>Under 18</v>
      </c>
    </row>
    <row r="291" spans="1:16">
      <c r="A291" t="s">
        <v>603</v>
      </c>
      <c r="B291" t="s">
        <v>604</v>
      </c>
      <c r="C291">
        <v>52</v>
      </c>
      <c r="D291" t="s">
        <v>12</v>
      </c>
      <c r="E291" s="2">
        <v>45929</v>
      </c>
      <c r="F291" s="2">
        <v>45931</v>
      </c>
      <c r="G291" t="s">
        <v>31</v>
      </c>
      <c r="H291" t="s">
        <v>87</v>
      </c>
      <c r="I291" s="3">
        <v>2780.94</v>
      </c>
      <c r="J291" t="s">
        <v>15</v>
      </c>
      <c r="K291" s="4">
        <v>0.8</v>
      </c>
      <c r="L291" s="3">
        <f t="shared" si="16"/>
        <v>2224.752</v>
      </c>
      <c r="M291" s="3">
        <f t="shared" si="17"/>
        <v>556.18799999999987</v>
      </c>
      <c r="N291">
        <f t="shared" si="18"/>
        <v>2</v>
      </c>
      <c r="O291" s="3">
        <f t="shared" si="19"/>
        <v>2780.94</v>
      </c>
      <c r="P291" t="str" cm="1">
        <f t="array" ref="P291">_xlfn.IFS(C291&lt;18, "Under 18", C291&lt;36, "Btw 18&amp;35", C291&lt;51, "Btw 36&amp;50", C291&lt;66, "Btw 51&amp;65", C291&gt;=66," 66&amp;Above")</f>
        <v>Btw 51&amp;65</v>
      </c>
    </row>
    <row r="292" spans="1:16">
      <c r="A292" t="s">
        <v>605</v>
      </c>
      <c r="B292" t="s">
        <v>606</v>
      </c>
      <c r="C292">
        <v>11</v>
      </c>
      <c r="D292" t="s">
        <v>12</v>
      </c>
      <c r="E292" s="2">
        <v>45399</v>
      </c>
      <c r="F292" s="2">
        <v>45400</v>
      </c>
      <c r="G292" t="s">
        <v>49</v>
      </c>
      <c r="H292" t="s">
        <v>50</v>
      </c>
      <c r="I292" s="3">
        <v>1277.56</v>
      </c>
      <c r="J292" t="s">
        <v>20</v>
      </c>
      <c r="K292" s="4">
        <v>0.7</v>
      </c>
      <c r="L292" s="3">
        <f t="shared" si="16"/>
        <v>894.29199999999992</v>
      </c>
      <c r="M292" s="3">
        <f t="shared" si="17"/>
        <v>383.26800000000003</v>
      </c>
      <c r="N292">
        <f t="shared" si="18"/>
        <v>1</v>
      </c>
      <c r="O292" s="3">
        <f t="shared" si="19"/>
        <v>0</v>
      </c>
      <c r="P292" t="str" cm="1">
        <f t="array" ref="P292">_xlfn.IFS(C292&lt;18, "Under 18", C292&lt;36, "Btw 18&amp;35", C292&lt;51, "Btw 36&amp;50", C292&lt;66, "Btw 51&amp;65", C292&gt;=66," 66&amp;Above")</f>
        <v>Under 18</v>
      </c>
    </row>
    <row r="293" spans="1:16">
      <c r="A293" t="s">
        <v>607</v>
      </c>
      <c r="B293" t="s">
        <v>608</v>
      </c>
      <c r="C293">
        <v>6</v>
      </c>
      <c r="D293" t="s">
        <v>18</v>
      </c>
      <c r="E293" s="2">
        <v>45343</v>
      </c>
      <c r="F293" s="2">
        <v>45346</v>
      </c>
      <c r="G293" t="s">
        <v>49</v>
      </c>
      <c r="H293" t="s">
        <v>130</v>
      </c>
      <c r="I293" s="3">
        <v>2921.29</v>
      </c>
      <c r="J293" t="s">
        <v>25</v>
      </c>
      <c r="K293" s="4">
        <v>0.5</v>
      </c>
      <c r="L293" s="3">
        <f t="shared" si="16"/>
        <v>1460.645</v>
      </c>
      <c r="M293" s="3">
        <f t="shared" si="17"/>
        <v>1460.645</v>
      </c>
      <c r="N293">
        <f t="shared" si="18"/>
        <v>3</v>
      </c>
      <c r="O293" s="3">
        <f t="shared" si="19"/>
        <v>0</v>
      </c>
      <c r="P293" t="str" cm="1">
        <f t="array" ref="P293">_xlfn.IFS(C293&lt;18, "Under 18", C293&lt;36, "Btw 18&amp;35", C293&lt;51, "Btw 36&amp;50", C293&lt;66, "Btw 51&amp;65", C293&gt;=66," 66&amp;Above")</f>
        <v>Under 18</v>
      </c>
    </row>
    <row r="294" spans="1:16">
      <c r="A294" t="s">
        <v>609</v>
      </c>
      <c r="B294" t="s">
        <v>610</v>
      </c>
      <c r="C294">
        <v>74</v>
      </c>
      <c r="D294" t="s">
        <v>18</v>
      </c>
      <c r="E294" s="2">
        <v>45486</v>
      </c>
      <c r="F294" s="2">
        <v>45489</v>
      </c>
      <c r="G294" t="s">
        <v>23</v>
      </c>
      <c r="H294" t="s">
        <v>28</v>
      </c>
      <c r="I294" s="3">
        <v>4516.54</v>
      </c>
      <c r="J294" t="s">
        <v>20</v>
      </c>
      <c r="K294" s="4">
        <v>0.7</v>
      </c>
      <c r="L294" s="3">
        <f t="shared" si="16"/>
        <v>3161.578</v>
      </c>
      <c r="M294" s="3">
        <f t="shared" si="17"/>
        <v>1354.9620000000002</v>
      </c>
      <c r="N294">
        <f t="shared" si="18"/>
        <v>3</v>
      </c>
      <c r="O294" s="3">
        <f t="shared" si="19"/>
        <v>0</v>
      </c>
      <c r="P294" t="str" cm="1">
        <f t="array" ref="P294">_xlfn.IFS(C294&lt;18, "Under 18", C294&lt;36, "Btw 18&amp;35", C294&lt;51, "Btw 36&amp;50", C294&lt;66, "Btw 51&amp;65", C294&gt;=66," 66&amp;Above")</f>
        <v xml:space="preserve"> 66&amp;Above</v>
      </c>
    </row>
    <row r="295" spans="1:16">
      <c r="A295" t="s">
        <v>611</v>
      </c>
      <c r="B295" t="s">
        <v>612</v>
      </c>
      <c r="C295">
        <v>37</v>
      </c>
      <c r="D295" t="s">
        <v>18</v>
      </c>
      <c r="E295" s="2">
        <v>45372</v>
      </c>
      <c r="F295" s="2">
        <v>45385</v>
      </c>
      <c r="G295" t="s">
        <v>60</v>
      </c>
      <c r="H295" t="s">
        <v>133</v>
      </c>
      <c r="I295" s="3">
        <v>15943.22</v>
      </c>
      <c r="J295" t="s">
        <v>15</v>
      </c>
      <c r="K295" s="4">
        <v>0.8</v>
      </c>
      <c r="L295" s="3">
        <f t="shared" si="16"/>
        <v>12754.576000000001</v>
      </c>
      <c r="M295" s="3">
        <f t="shared" si="17"/>
        <v>3188.6439999999993</v>
      </c>
      <c r="N295">
        <f t="shared" si="18"/>
        <v>13</v>
      </c>
      <c r="O295" s="3">
        <f t="shared" si="19"/>
        <v>15943.22</v>
      </c>
      <c r="P295" t="str" cm="1">
        <f t="array" ref="P295">_xlfn.IFS(C295&lt;18, "Under 18", C295&lt;36, "Btw 18&amp;35", C295&lt;51, "Btw 36&amp;50", C295&lt;66, "Btw 51&amp;65", C295&gt;=66," 66&amp;Above")</f>
        <v>Btw 36&amp;50</v>
      </c>
    </row>
    <row r="296" spans="1:16">
      <c r="A296" t="s">
        <v>613</v>
      </c>
      <c r="B296" t="s">
        <v>183</v>
      </c>
      <c r="C296">
        <v>84</v>
      </c>
      <c r="D296" t="s">
        <v>18</v>
      </c>
      <c r="E296" s="2">
        <v>45443</v>
      </c>
      <c r="F296" s="2">
        <v>45446</v>
      </c>
      <c r="G296" t="s">
        <v>13</v>
      </c>
      <c r="H296" t="s">
        <v>19</v>
      </c>
      <c r="I296" s="3">
        <v>6113</v>
      </c>
      <c r="J296" t="s">
        <v>15</v>
      </c>
      <c r="K296" s="4">
        <v>0.8</v>
      </c>
      <c r="L296" s="3">
        <f t="shared" si="16"/>
        <v>4890.4000000000005</v>
      </c>
      <c r="M296" s="3">
        <f t="shared" si="17"/>
        <v>1222.5999999999997</v>
      </c>
      <c r="N296">
        <f t="shared" si="18"/>
        <v>3</v>
      </c>
      <c r="O296" s="3">
        <f t="shared" si="19"/>
        <v>6113</v>
      </c>
      <c r="P296" t="str" cm="1">
        <f t="array" ref="P296">_xlfn.IFS(C296&lt;18, "Under 18", C296&lt;36, "Btw 18&amp;35", C296&lt;51, "Btw 36&amp;50", C296&lt;66, "Btw 51&amp;65", C296&gt;=66," 66&amp;Above")</f>
        <v xml:space="preserve"> 66&amp;Above</v>
      </c>
    </row>
    <row r="297" spans="1:16">
      <c r="A297" t="s">
        <v>614</v>
      </c>
      <c r="B297" t="s">
        <v>516</v>
      </c>
      <c r="C297">
        <v>70</v>
      </c>
      <c r="D297" t="s">
        <v>12</v>
      </c>
      <c r="E297" s="2">
        <v>45507</v>
      </c>
      <c r="F297" s="2">
        <v>45510</v>
      </c>
      <c r="G297" t="s">
        <v>23</v>
      </c>
      <c r="H297" t="s">
        <v>41</v>
      </c>
      <c r="I297" s="3">
        <v>4356.16</v>
      </c>
      <c r="J297" t="s">
        <v>15</v>
      </c>
      <c r="K297" s="4">
        <v>0</v>
      </c>
      <c r="L297" s="3">
        <f t="shared" si="16"/>
        <v>0</v>
      </c>
      <c r="M297" s="3">
        <f t="shared" si="17"/>
        <v>4356.16</v>
      </c>
      <c r="N297">
        <f t="shared" si="18"/>
        <v>3</v>
      </c>
      <c r="O297" s="3">
        <f t="shared" si="19"/>
        <v>4356.16</v>
      </c>
      <c r="P297" t="str" cm="1">
        <f t="array" ref="P297">_xlfn.IFS(C297&lt;18, "Under 18", C297&lt;36, "Btw 18&amp;35", C297&lt;51, "Btw 36&amp;50", C297&lt;66, "Btw 51&amp;65", C297&gt;=66," 66&amp;Above")</f>
        <v xml:space="preserve"> 66&amp;Above</v>
      </c>
    </row>
    <row r="298" spans="1:16">
      <c r="A298" t="s">
        <v>615</v>
      </c>
      <c r="B298" t="s">
        <v>616</v>
      </c>
      <c r="C298">
        <v>18</v>
      </c>
      <c r="D298" t="s">
        <v>12</v>
      </c>
      <c r="E298" s="2">
        <v>45794</v>
      </c>
      <c r="F298" s="2">
        <v>45797</v>
      </c>
      <c r="G298" t="s">
        <v>23</v>
      </c>
      <c r="H298" t="s">
        <v>24</v>
      </c>
      <c r="I298" s="3">
        <v>2810.17</v>
      </c>
      <c r="J298" t="s">
        <v>15</v>
      </c>
      <c r="K298" s="4">
        <v>0.9</v>
      </c>
      <c r="L298" s="3">
        <f t="shared" si="16"/>
        <v>2529.1530000000002</v>
      </c>
      <c r="M298" s="3">
        <f t="shared" si="17"/>
        <v>281.01699999999994</v>
      </c>
      <c r="N298">
        <f t="shared" si="18"/>
        <v>3</v>
      </c>
      <c r="O298" s="3">
        <f t="shared" si="19"/>
        <v>2810.17</v>
      </c>
      <c r="P298" t="str" cm="1">
        <f t="array" ref="P298">_xlfn.IFS(C298&lt;18, "Under 18", C298&lt;36, "Btw 18&amp;35", C298&lt;51, "Btw 36&amp;50", C298&lt;66, "Btw 51&amp;65", C298&gt;=66," 66&amp;Above")</f>
        <v>Btw 18&amp;35</v>
      </c>
    </row>
    <row r="299" spans="1:16">
      <c r="A299" t="s">
        <v>617</v>
      </c>
      <c r="B299" t="s">
        <v>618</v>
      </c>
      <c r="C299">
        <v>41</v>
      </c>
      <c r="D299" t="s">
        <v>18</v>
      </c>
      <c r="E299" s="2">
        <v>45559</v>
      </c>
      <c r="F299" s="2">
        <v>45563</v>
      </c>
      <c r="G299" t="s">
        <v>31</v>
      </c>
      <c r="H299" t="s">
        <v>87</v>
      </c>
      <c r="I299" s="3">
        <v>3049.69</v>
      </c>
      <c r="J299" t="s">
        <v>15</v>
      </c>
      <c r="K299" s="4">
        <v>0.6</v>
      </c>
      <c r="L299" s="3">
        <f t="shared" si="16"/>
        <v>1829.8140000000001</v>
      </c>
      <c r="M299" s="3">
        <f t="shared" si="17"/>
        <v>1219.876</v>
      </c>
      <c r="N299">
        <f t="shared" si="18"/>
        <v>4</v>
      </c>
      <c r="O299" s="3">
        <f t="shared" si="19"/>
        <v>3049.69</v>
      </c>
      <c r="P299" t="str" cm="1">
        <f t="array" ref="P299">_xlfn.IFS(C299&lt;18, "Under 18", C299&lt;36, "Btw 18&amp;35", C299&lt;51, "Btw 36&amp;50", C299&lt;66, "Btw 51&amp;65", C299&gt;=66," 66&amp;Above")</f>
        <v>Btw 36&amp;50</v>
      </c>
    </row>
    <row r="300" spans="1:16">
      <c r="A300" t="s">
        <v>619</v>
      </c>
      <c r="B300" t="s">
        <v>620</v>
      </c>
      <c r="C300">
        <v>70</v>
      </c>
      <c r="D300" t="s">
        <v>18</v>
      </c>
      <c r="E300" s="2">
        <v>45763</v>
      </c>
      <c r="F300" s="2">
        <v>45766</v>
      </c>
      <c r="G300" t="s">
        <v>31</v>
      </c>
      <c r="H300" t="s">
        <v>87</v>
      </c>
      <c r="I300" s="3">
        <v>2096.4899999999998</v>
      </c>
      <c r="J300" t="s">
        <v>20</v>
      </c>
      <c r="K300" s="4">
        <v>0.6</v>
      </c>
      <c r="L300" s="3">
        <f t="shared" si="16"/>
        <v>1257.8939999999998</v>
      </c>
      <c r="M300" s="3">
        <f t="shared" si="17"/>
        <v>838.596</v>
      </c>
      <c r="N300">
        <f t="shared" si="18"/>
        <v>3</v>
      </c>
      <c r="O300" s="3">
        <f t="shared" si="19"/>
        <v>0</v>
      </c>
      <c r="P300" t="str" cm="1">
        <f t="array" ref="P300">_xlfn.IFS(C300&lt;18, "Under 18", C300&lt;36, "Btw 18&amp;35", C300&lt;51, "Btw 36&amp;50", C300&lt;66, "Btw 51&amp;65", C300&gt;=66," 66&amp;Above")</f>
        <v xml:space="preserve"> 66&amp;Above</v>
      </c>
    </row>
    <row r="301" spans="1:16">
      <c r="A301" t="s">
        <v>621</v>
      </c>
      <c r="B301" t="s">
        <v>622</v>
      </c>
      <c r="C301">
        <v>44</v>
      </c>
      <c r="D301" t="s">
        <v>18</v>
      </c>
      <c r="E301" s="2">
        <v>45905</v>
      </c>
      <c r="F301" s="2">
        <v>45910</v>
      </c>
      <c r="G301" t="s">
        <v>60</v>
      </c>
      <c r="H301" t="s">
        <v>97</v>
      </c>
      <c r="I301" s="3">
        <v>12341.99</v>
      </c>
      <c r="J301" t="s">
        <v>15</v>
      </c>
      <c r="K301" s="4">
        <v>0.7</v>
      </c>
      <c r="L301" s="3">
        <f t="shared" si="16"/>
        <v>8639.393</v>
      </c>
      <c r="M301" s="3">
        <f t="shared" si="17"/>
        <v>3702.5970000000007</v>
      </c>
      <c r="N301">
        <f t="shared" si="18"/>
        <v>5</v>
      </c>
      <c r="O301" s="3">
        <f t="shared" si="19"/>
        <v>12341.99</v>
      </c>
      <c r="P301" t="str" cm="1">
        <f t="array" ref="P301">_xlfn.IFS(C301&lt;18, "Under 18", C301&lt;36, "Btw 18&amp;35", C301&lt;51, "Btw 36&amp;50", C301&lt;66, "Btw 51&amp;65", C301&gt;=66," 66&amp;Above")</f>
        <v>Btw 36&amp;50</v>
      </c>
    </row>
    <row r="302" spans="1:16">
      <c r="A302" t="s">
        <v>623</v>
      </c>
      <c r="B302" t="s">
        <v>624</v>
      </c>
      <c r="C302">
        <v>31</v>
      </c>
      <c r="D302" t="s">
        <v>12</v>
      </c>
      <c r="E302" s="2">
        <v>45882</v>
      </c>
      <c r="F302" s="2">
        <v>45885</v>
      </c>
      <c r="G302" t="s">
        <v>23</v>
      </c>
      <c r="H302" t="s">
        <v>333</v>
      </c>
      <c r="I302" s="3">
        <v>3445.79</v>
      </c>
      <c r="J302" t="s">
        <v>15</v>
      </c>
      <c r="K302" s="4">
        <v>0.9</v>
      </c>
      <c r="L302" s="3">
        <f t="shared" si="16"/>
        <v>3101.2110000000002</v>
      </c>
      <c r="M302" s="3">
        <f t="shared" si="17"/>
        <v>344.57899999999989</v>
      </c>
      <c r="N302">
        <f t="shared" si="18"/>
        <v>3</v>
      </c>
      <c r="O302" s="3">
        <f t="shared" si="19"/>
        <v>3445.79</v>
      </c>
      <c r="P302" t="str" cm="1">
        <f t="array" ref="P302">_xlfn.IFS(C302&lt;18, "Under 18", C302&lt;36, "Btw 18&amp;35", C302&lt;51, "Btw 36&amp;50", C302&lt;66, "Btw 51&amp;65", C302&gt;=66," 66&amp;Above")</f>
        <v>Btw 18&amp;35</v>
      </c>
    </row>
    <row r="303" spans="1:16">
      <c r="A303" t="s">
        <v>625</v>
      </c>
      <c r="B303" t="s">
        <v>626</v>
      </c>
      <c r="C303">
        <v>68</v>
      </c>
      <c r="D303" t="s">
        <v>18</v>
      </c>
      <c r="E303" s="2">
        <v>45395</v>
      </c>
      <c r="F303" s="2">
        <v>45398</v>
      </c>
      <c r="G303" t="s">
        <v>13</v>
      </c>
      <c r="H303" t="s">
        <v>111</v>
      </c>
      <c r="I303" s="3">
        <v>4176.93</v>
      </c>
      <c r="J303" t="s">
        <v>15</v>
      </c>
      <c r="K303" s="4">
        <v>0</v>
      </c>
      <c r="L303" s="3">
        <f t="shared" si="16"/>
        <v>0</v>
      </c>
      <c r="M303" s="3">
        <f t="shared" si="17"/>
        <v>4176.93</v>
      </c>
      <c r="N303">
        <f t="shared" si="18"/>
        <v>3</v>
      </c>
      <c r="O303" s="3">
        <f t="shared" si="19"/>
        <v>4176.93</v>
      </c>
      <c r="P303" t="str" cm="1">
        <f t="array" ref="P303">_xlfn.IFS(C303&lt;18, "Under 18", C303&lt;36, "Btw 18&amp;35", C303&lt;51, "Btw 36&amp;50", C303&lt;66, "Btw 51&amp;65", C303&gt;=66," 66&amp;Above")</f>
        <v xml:space="preserve"> 66&amp;Above</v>
      </c>
    </row>
    <row r="304" spans="1:16">
      <c r="A304" t="s">
        <v>627</v>
      </c>
      <c r="B304" t="s">
        <v>628</v>
      </c>
      <c r="C304">
        <v>50</v>
      </c>
      <c r="D304" t="s">
        <v>12</v>
      </c>
      <c r="E304" s="2">
        <v>46019</v>
      </c>
      <c r="F304" s="2">
        <v>46024</v>
      </c>
      <c r="G304" t="s">
        <v>13</v>
      </c>
      <c r="H304" t="s">
        <v>102</v>
      </c>
      <c r="I304" s="3">
        <v>10022.5</v>
      </c>
      <c r="J304" t="s">
        <v>20</v>
      </c>
      <c r="K304" s="4">
        <v>0.7</v>
      </c>
      <c r="L304" s="3">
        <f t="shared" si="16"/>
        <v>7015.75</v>
      </c>
      <c r="M304" s="3">
        <f t="shared" si="17"/>
        <v>3006.7500000000005</v>
      </c>
      <c r="N304">
        <f t="shared" si="18"/>
        <v>5</v>
      </c>
      <c r="O304" s="3">
        <f t="shared" si="19"/>
        <v>0</v>
      </c>
      <c r="P304" t="str" cm="1">
        <f t="array" ref="P304">_xlfn.IFS(C304&lt;18, "Under 18", C304&lt;36, "Btw 18&amp;35", C304&lt;51, "Btw 36&amp;50", C304&lt;66, "Btw 51&amp;65", C304&gt;=66," 66&amp;Above")</f>
        <v>Btw 36&amp;50</v>
      </c>
    </row>
    <row r="305" spans="1:16">
      <c r="A305" t="s">
        <v>629</v>
      </c>
      <c r="B305" t="s">
        <v>630</v>
      </c>
      <c r="C305">
        <v>57</v>
      </c>
      <c r="D305" t="s">
        <v>12</v>
      </c>
      <c r="E305" s="2">
        <v>45342</v>
      </c>
      <c r="F305" s="2">
        <v>45349</v>
      </c>
      <c r="G305" t="s">
        <v>70</v>
      </c>
      <c r="H305" t="s">
        <v>157</v>
      </c>
      <c r="I305" s="3">
        <v>13346.03</v>
      </c>
      <c r="J305" t="s">
        <v>15</v>
      </c>
      <c r="K305" s="4">
        <v>0.6</v>
      </c>
      <c r="L305" s="3">
        <f t="shared" si="16"/>
        <v>8007.6180000000004</v>
      </c>
      <c r="M305" s="3">
        <f t="shared" si="17"/>
        <v>5338.4120000000003</v>
      </c>
      <c r="N305">
        <f t="shared" si="18"/>
        <v>7</v>
      </c>
      <c r="O305" s="3">
        <f t="shared" si="19"/>
        <v>13346.03</v>
      </c>
      <c r="P305" t="str" cm="1">
        <f t="array" ref="P305">_xlfn.IFS(C305&lt;18, "Under 18", C305&lt;36, "Btw 18&amp;35", C305&lt;51, "Btw 36&amp;50", C305&lt;66, "Btw 51&amp;65", C305&gt;=66," 66&amp;Above")</f>
        <v>Btw 51&amp;65</v>
      </c>
    </row>
    <row r="306" spans="1:16">
      <c r="A306" t="s">
        <v>631</v>
      </c>
      <c r="B306" t="s">
        <v>328</v>
      </c>
      <c r="C306">
        <v>67</v>
      </c>
      <c r="D306" t="s">
        <v>18</v>
      </c>
      <c r="E306" s="2">
        <v>45912</v>
      </c>
      <c r="F306" s="2">
        <v>45918</v>
      </c>
      <c r="G306" t="s">
        <v>60</v>
      </c>
      <c r="H306" t="s">
        <v>97</v>
      </c>
      <c r="I306" s="3">
        <v>12949.84</v>
      </c>
      <c r="J306" t="s">
        <v>15</v>
      </c>
      <c r="K306" s="4">
        <v>0.8</v>
      </c>
      <c r="L306" s="3">
        <f t="shared" si="16"/>
        <v>10359.872000000001</v>
      </c>
      <c r="M306" s="3">
        <f t="shared" si="17"/>
        <v>2589.9679999999994</v>
      </c>
      <c r="N306">
        <f t="shared" si="18"/>
        <v>6</v>
      </c>
      <c r="O306" s="3">
        <f t="shared" si="19"/>
        <v>12949.84</v>
      </c>
      <c r="P306" t="str" cm="1">
        <f t="array" ref="P306">_xlfn.IFS(C306&lt;18, "Under 18", C306&lt;36, "Btw 18&amp;35", C306&lt;51, "Btw 36&amp;50", C306&lt;66, "Btw 51&amp;65", C306&gt;=66," 66&amp;Above")</f>
        <v xml:space="preserve"> 66&amp;Above</v>
      </c>
    </row>
    <row r="307" spans="1:16">
      <c r="A307" t="s">
        <v>632</v>
      </c>
      <c r="B307" t="s">
        <v>633</v>
      </c>
      <c r="C307">
        <v>76</v>
      </c>
      <c r="D307" t="s">
        <v>18</v>
      </c>
      <c r="E307" s="2">
        <v>45744</v>
      </c>
      <c r="F307" s="2">
        <v>45747</v>
      </c>
      <c r="G307" t="s">
        <v>70</v>
      </c>
      <c r="H307" t="s">
        <v>71</v>
      </c>
      <c r="I307" s="3">
        <v>5780.36</v>
      </c>
      <c r="J307" t="s">
        <v>25</v>
      </c>
      <c r="K307" s="4">
        <v>0.9</v>
      </c>
      <c r="L307" s="3">
        <f t="shared" si="16"/>
        <v>5202.3239999999996</v>
      </c>
      <c r="M307" s="3">
        <f t="shared" si="17"/>
        <v>578.03599999999983</v>
      </c>
      <c r="N307">
        <f t="shared" si="18"/>
        <v>3</v>
      </c>
      <c r="O307" s="3">
        <f t="shared" si="19"/>
        <v>0</v>
      </c>
      <c r="P307" t="str" cm="1">
        <f t="array" ref="P307">_xlfn.IFS(C307&lt;18, "Under 18", C307&lt;36, "Btw 18&amp;35", C307&lt;51, "Btw 36&amp;50", C307&lt;66, "Btw 51&amp;65", C307&gt;=66," 66&amp;Above")</f>
        <v xml:space="preserve"> 66&amp;Above</v>
      </c>
    </row>
    <row r="308" spans="1:16">
      <c r="A308" t="s">
        <v>634</v>
      </c>
      <c r="B308" t="s">
        <v>635</v>
      </c>
      <c r="C308">
        <v>25</v>
      </c>
      <c r="D308" t="s">
        <v>12</v>
      </c>
      <c r="E308" s="2">
        <v>45928</v>
      </c>
      <c r="F308" s="2">
        <v>45937</v>
      </c>
      <c r="G308" t="s">
        <v>60</v>
      </c>
      <c r="H308" t="s">
        <v>97</v>
      </c>
      <c r="I308" s="3">
        <v>12079.5</v>
      </c>
      <c r="J308" t="s">
        <v>20</v>
      </c>
      <c r="K308" s="4">
        <v>0.6</v>
      </c>
      <c r="L308" s="3">
        <f t="shared" si="16"/>
        <v>7247.7</v>
      </c>
      <c r="M308" s="3">
        <f t="shared" si="17"/>
        <v>4831.8</v>
      </c>
      <c r="N308">
        <f t="shared" si="18"/>
        <v>9</v>
      </c>
      <c r="O308" s="3">
        <f t="shared" si="19"/>
        <v>0</v>
      </c>
      <c r="P308" t="str" cm="1">
        <f t="array" ref="P308">_xlfn.IFS(C308&lt;18, "Under 18", C308&lt;36, "Btw 18&amp;35", C308&lt;51, "Btw 36&amp;50", C308&lt;66, "Btw 51&amp;65", C308&gt;=66," 66&amp;Above")</f>
        <v>Btw 18&amp;35</v>
      </c>
    </row>
    <row r="309" spans="1:16">
      <c r="A309" t="s">
        <v>636</v>
      </c>
      <c r="B309" t="s">
        <v>637</v>
      </c>
      <c r="C309">
        <v>40</v>
      </c>
      <c r="D309" t="s">
        <v>12</v>
      </c>
      <c r="E309" s="2">
        <v>45615</v>
      </c>
      <c r="F309" s="2">
        <v>45622</v>
      </c>
      <c r="G309" t="s">
        <v>31</v>
      </c>
      <c r="H309" t="s">
        <v>53</v>
      </c>
      <c r="I309" s="3">
        <v>7389.52</v>
      </c>
      <c r="J309" t="s">
        <v>20</v>
      </c>
      <c r="K309" s="4">
        <v>0.8</v>
      </c>
      <c r="L309" s="3">
        <f t="shared" si="16"/>
        <v>5911.6160000000009</v>
      </c>
      <c r="M309" s="3">
        <f t="shared" si="17"/>
        <v>1477.9039999999998</v>
      </c>
      <c r="N309">
        <f t="shared" si="18"/>
        <v>7</v>
      </c>
      <c r="O309" s="3">
        <f t="shared" si="19"/>
        <v>0</v>
      </c>
      <c r="P309" t="str" cm="1">
        <f t="array" ref="P309">_xlfn.IFS(C309&lt;18, "Under 18", C309&lt;36, "Btw 18&amp;35", C309&lt;51, "Btw 36&amp;50", C309&lt;66, "Btw 51&amp;65", C309&gt;=66," 66&amp;Above")</f>
        <v>Btw 36&amp;50</v>
      </c>
    </row>
    <row r="310" spans="1:16">
      <c r="A310" t="s">
        <v>638</v>
      </c>
      <c r="B310" t="s">
        <v>639</v>
      </c>
      <c r="C310">
        <v>78</v>
      </c>
      <c r="D310" t="s">
        <v>12</v>
      </c>
      <c r="E310" s="2">
        <v>45888</v>
      </c>
      <c r="F310" s="2">
        <v>45891</v>
      </c>
      <c r="G310" t="s">
        <v>13</v>
      </c>
      <c r="H310" t="s">
        <v>14</v>
      </c>
      <c r="I310" s="3">
        <v>5108.6400000000003</v>
      </c>
      <c r="J310" t="s">
        <v>20</v>
      </c>
      <c r="K310" s="4">
        <v>0.6</v>
      </c>
      <c r="L310" s="3">
        <f t="shared" si="16"/>
        <v>3065.1840000000002</v>
      </c>
      <c r="M310" s="3">
        <f t="shared" si="17"/>
        <v>2043.4560000000001</v>
      </c>
      <c r="N310">
        <f t="shared" si="18"/>
        <v>3</v>
      </c>
      <c r="O310" s="3">
        <f t="shared" si="19"/>
        <v>0</v>
      </c>
      <c r="P310" t="str" cm="1">
        <f t="array" ref="P310">_xlfn.IFS(C310&lt;18, "Under 18", C310&lt;36, "Btw 18&amp;35", C310&lt;51, "Btw 36&amp;50", C310&lt;66, "Btw 51&amp;65", C310&gt;=66," 66&amp;Above")</f>
        <v xml:space="preserve"> 66&amp;Above</v>
      </c>
    </row>
    <row r="311" spans="1:16">
      <c r="A311" t="s">
        <v>640</v>
      </c>
      <c r="B311" t="s">
        <v>641</v>
      </c>
      <c r="C311">
        <v>30</v>
      </c>
      <c r="D311" t="s">
        <v>12</v>
      </c>
      <c r="E311" s="2">
        <v>45436</v>
      </c>
      <c r="F311" s="2">
        <v>45438</v>
      </c>
      <c r="G311" t="s">
        <v>23</v>
      </c>
      <c r="H311" t="s">
        <v>41</v>
      </c>
      <c r="I311" s="3">
        <v>3176.54</v>
      </c>
      <c r="J311" t="s">
        <v>15</v>
      </c>
      <c r="K311" s="4">
        <v>0.8</v>
      </c>
      <c r="L311" s="3">
        <f t="shared" si="16"/>
        <v>2541.232</v>
      </c>
      <c r="M311" s="3">
        <f t="shared" si="17"/>
        <v>635.30799999999988</v>
      </c>
      <c r="N311">
        <f t="shared" si="18"/>
        <v>2</v>
      </c>
      <c r="O311" s="3">
        <f t="shared" si="19"/>
        <v>3176.54</v>
      </c>
      <c r="P311" t="str" cm="1">
        <f t="array" ref="P311">_xlfn.IFS(C311&lt;18, "Under 18", C311&lt;36, "Btw 18&amp;35", C311&lt;51, "Btw 36&amp;50", C311&lt;66, "Btw 51&amp;65", C311&gt;=66," 66&amp;Above")</f>
        <v>Btw 18&amp;35</v>
      </c>
    </row>
    <row r="312" spans="1:16">
      <c r="A312" t="s">
        <v>642</v>
      </c>
      <c r="B312" t="s">
        <v>643</v>
      </c>
      <c r="C312">
        <v>54</v>
      </c>
      <c r="D312" t="s">
        <v>12</v>
      </c>
      <c r="E312" s="2">
        <v>45544</v>
      </c>
      <c r="F312" s="2">
        <v>45552</v>
      </c>
      <c r="G312" t="s">
        <v>60</v>
      </c>
      <c r="H312" t="s">
        <v>133</v>
      </c>
      <c r="I312" s="3">
        <v>17049.400000000001</v>
      </c>
      <c r="J312" t="s">
        <v>25</v>
      </c>
      <c r="K312" s="4">
        <v>1</v>
      </c>
      <c r="L312" s="3">
        <f t="shared" si="16"/>
        <v>17049.400000000001</v>
      </c>
      <c r="M312" s="3">
        <f t="shared" si="17"/>
        <v>0</v>
      </c>
      <c r="N312">
        <f t="shared" si="18"/>
        <v>8</v>
      </c>
      <c r="O312" s="3">
        <f t="shared" si="19"/>
        <v>0</v>
      </c>
      <c r="P312" t="str" cm="1">
        <f t="array" ref="P312">_xlfn.IFS(C312&lt;18, "Under 18", C312&lt;36, "Btw 18&amp;35", C312&lt;51, "Btw 36&amp;50", C312&lt;66, "Btw 51&amp;65", C312&gt;=66," 66&amp;Above")</f>
        <v>Btw 51&amp;65</v>
      </c>
    </row>
    <row r="313" spans="1:16">
      <c r="A313" t="s">
        <v>644</v>
      </c>
      <c r="B313" t="s">
        <v>645</v>
      </c>
      <c r="C313">
        <v>67</v>
      </c>
      <c r="D313" t="s">
        <v>18</v>
      </c>
      <c r="E313" s="2">
        <v>45969</v>
      </c>
      <c r="F313" s="2">
        <v>45970</v>
      </c>
      <c r="G313" t="s">
        <v>23</v>
      </c>
      <c r="H313" t="s">
        <v>333</v>
      </c>
      <c r="I313" s="3">
        <v>1997.86</v>
      </c>
      <c r="J313" t="s">
        <v>15</v>
      </c>
      <c r="K313" s="4">
        <v>0.7</v>
      </c>
      <c r="L313" s="3">
        <f t="shared" si="16"/>
        <v>1398.502</v>
      </c>
      <c r="M313" s="3">
        <f t="shared" si="17"/>
        <v>599.35800000000006</v>
      </c>
      <c r="N313">
        <f t="shared" si="18"/>
        <v>1</v>
      </c>
      <c r="O313" s="3">
        <f t="shared" si="19"/>
        <v>1997.86</v>
      </c>
      <c r="P313" t="str" cm="1">
        <f t="array" ref="P313">_xlfn.IFS(C313&lt;18, "Under 18", C313&lt;36, "Btw 18&amp;35", C313&lt;51, "Btw 36&amp;50", C313&lt;66, "Btw 51&amp;65", C313&gt;=66," 66&amp;Above")</f>
        <v xml:space="preserve"> 66&amp;Above</v>
      </c>
    </row>
    <row r="314" spans="1:16">
      <c r="A314" t="s">
        <v>646</v>
      </c>
      <c r="B314" t="s">
        <v>647</v>
      </c>
      <c r="C314">
        <v>43</v>
      </c>
      <c r="D314" t="s">
        <v>12</v>
      </c>
      <c r="E314" s="2">
        <v>45519</v>
      </c>
      <c r="F314" s="2">
        <v>45523</v>
      </c>
      <c r="G314" t="s">
        <v>31</v>
      </c>
      <c r="H314" t="s">
        <v>44</v>
      </c>
      <c r="I314" s="3">
        <v>4991.59</v>
      </c>
      <c r="J314" t="s">
        <v>25</v>
      </c>
      <c r="K314" s="4">
        <v>0</v>
      </c>
      <c r="L314" s="3">
        <f t="shared" si="16"/>
        <v>0</v>
      </c>
      <c r="M314" s="3">
        <f t="shared" si="17"/>
        <v>4991.59</v>
      </c>
      <c r="N314">
        <f t="shared" si="18"/>
        <v>4</v>
      </c>
      <c r="O314" s="3">
        <f t="shared" si="19"/>
        <v>0</v>
      </c>
      <c r="P314" t="str" cm="1">
        <f t="array" ref="P314">_xlfn.IFS(C314&lt;18, "Under 18", C314&lt;36, "Btw 18&amp;35", C314&lt;51, "Btw 36&amp;50", C314&lt;66, "Btw 51&amp;65", C314&gt;=66," 66&amp;Above")</f>
        <v>Btw 36&amp;50</v>
      </c>
    </row>
    <row r="315" spans="1:16">
      <c r="A315" t="s">
        <v>648</v>
      </c>
      <c r="B315" t="s">
        <v>649</v>
      </c>
      <c r="C315">
        <v>70</v>
      </c>
      <c r="D315" t="s">
        <v>18</v>
      </c>
      <c r="E315" s="2">
        <v>45524</v>
      </c>
      <c r="F315" s="2">
        <v>45533</v>
      </c>
      <c r="G315" t="s">
        <v>70</v>
      </c>
      <c r="H315" t="s">
        <v>157</v>
      </c>
      <c r="I315" s="3">
        <v>17095.62</v>
      </c>
      <c r="J315" t="s">
        <v>15</v>
      </c>
      <c r="K315" s="4">
        <v>0.9</v>
      </c>
      <c r="L315" s="3">
        <f t="shared" si="16"/>
        <v>15386.057999999999</v>
      </c>
      <c r="M315" s="3">
        <f t="shared" si="17"/>
        <v>1709.5619999999994</v>
      </c>
      <c r="N315">
        <f t="shared" si="18"/>
        <v>9</v>
      </c>
      <c r="O315" s="3">
        <f t="shared" si="19"/>
        <v>17095.62</v>
      </c>
      <c r="P315" t="str" cm="1">
        <f t="array" ref="P315">_xlfn.IFS(C315&lt;18, "Under 18", C315&lt;36, "Btw 18&amp;35", C315&lt;51, "Btw 36&amp;50", C315&lt;66, "Btw 51&amp;65", C315&gt;=66," 66&amp;Above")</f>
        <v xml:space="preserve"> 66&amp;Above</v>
      </c>
    </row>
    <row r="316" spans="1:16">
      <c r="A316" t="s">
        <v>650</v>
      </c>
      <c r="B316" t="s">
        <v>651</v>
      </c>
      <c r="C316">
        <v>64</v>
      </c>
      <c r="D316" t="s">
        <v>12</v>
      </c>
      <c r="E316" s="2">
        <v>45887</v>
      </c>
      <c r="F316" s="2">
        <v>45889</v>
      </c>
      <c r="G316" t="s">
        <v>23</v>
      </c>
      <c r="H316" t="s">
        <v>204</v>
      </c>
      <c r="I316" s="3">
        <v>4730.04</v>
      </c>
      <c r="J316" t="s">
        <v>15</v>
      </c>
      <c r="K316" s="4">
        <v>0.8</v>
      </c>
      <c r="L316" s="3">
        <f t="shared" si="16"/>
        <v>3784.0320000000002</v>
      </c>
      <c r="M316" s="3">
        <f t="shared" si="17"/>
        <v>946.00799999999981</v>
      </c>
      <c r="N316">
        <f t="shared" si="18"/>
        <v>2</v>
      </c>
      <c r="O316" s="3">
        <f t="shared" si="19"/>
        <v>4730.04</v>
      </c>
      <c r="P316" t="str" cm="1">
        <f t="array" ref="P316">_xlfn.IFS(C316&lt;18, "Under 18", C316&lt;36, "Btw 18&amp;35", C316&lt;51, "Btw 36&amp;50", C316&lt;66, "Btw 51&amp;65", C316&gt;=66," 66&amp;Above")</f>
        <v>Btw 51&amp;65</v>
      </c>
    </row>
    <row r="317" spans="1:16">
      <c r="A317" t="s">
        <v>652</v>
      </c>
      <c r="B317" t="s">
        <v>525</v>
      </c>
      <c r="C317">
        <v>56</v>
      </c>
      <c r="D317" t="s">
        <v>12</v>
      </c>
      <c r="E317" s="2">
        <v>45559</v>
      </c>
      <c r="F317" s="2">
        <v>45566</v>
      </c>
      <c r="G317" t="s">
        <v>31</v>
      </c>
      <c r="H317" t="s">
        <v>32</v>
      </c>
      <c r="I317" s="3">
        <v>10303.59</v>
      </c>
      <c r="J317" t="s">
        <v>20</v>
      </c>
      <c r="K317" s="4">
        <v>0.7</v>
      </c>
      <c r="L317" s="3">
        <f t="shared" si="16"/>
        <v>7212.5129999999999</v>
      </c>
      <c r="M317" s="3">
        <f t="shared" si="17"/>
        <v>3091.0770000000007</v>
      </c>
      <c r="N317">
        <f t="shared" si="18"/>
        <v>7</v>
      </c>
      <c r="O317" s="3">
        <f t="shared" si="19"/>
        <v>0</v>
      </c>
      <c r="P317" t="str" cm="1">
        <f t="array" ref="P317">_xlfn.IFS(C317&lt;18, "Under 18", C317&lt;36, "Btw 18&amp;35", C317&lt;51, "Btw 36&amp;50", C317&lt;66, "Btw 51&amp;65", C317&gt;=66," 66&amp;Above")</f>
        <v>Btw 51&amp;65</v>
      </c>
    </row>
    <row r="318" spans="1:16">
      <c r="A318" t="s">
        <v>653</v>
      </c>
      <c r="B318" t="s">
        <v>654</v>
      </c>
      <c r="C318">
        <v>56</v>
      </c>
      <c r="D318" t="s">
        <v>12</v>
      </c>
      <c r="E318" s="2">
        <v>45447</v>
      </c>
      <c r="F318" s="2">
        <v>45453</v>
      </c>
      <c r="G318" t="s">
        <v>31</v>
      </c>
      <c r="H318" t="s">
        <v>114</v>
      </c>
      <c r="I318" s="3">
        <v>7120.81</v>
      </c>
      <c r="J318" t="s">
        <v>25</v>
      </c>
      <c r="K318" s="4">
        <v>0.8</v>
      </c>
      <c r="L318" s="3">
        <f t="shared" si="16"/>
        <v>5696.648000000001</v>
      </c>
      <c r="M318" s="3">
        <f t="shared" si="17"/>
        <v>1424.1619999999998</v>
      </c>
      <c r="N318">
        <f t="shared" si="18"/>
        <v>6</v>
      </c>
      <c r="O318" s="3">
        <f t="shared" si="19"/>
        <v>0</v>
      </c>
      <c r="P318" t="str" cm="1">
        <f t="array" ref="P318">_xlfn.IFS(C318&lt;18, "Under 18", C318&lt;36, "Btw 18&amp;35", C318&lt;51, "Btw 36&amp;50", C318&lt;66, "Btw 51&amp;65", C318&gt;=66," 66&amp;Above")</f>
        <v>Btw 51&amp;65</v>
      </c>
    </row>
    <row r="319" spans="1:16">
      <c r="A319" t="s">
        <v>655</v>
      </c>
      <c r="B319" t="s">
        <v>651</v>
      </c>
      <c r="C319">
        <v>38</v>
      </c>
      <c r="D319" t="s">
        <v>12</v>
      </c>
      <c r="E319" s="2">
        <v>45850</v>
      </c>
      <c r="F319" s="2">
        <v>45851</v>
      </c>
      <c r="G319" t="s">
        <v>23</v>
      </c>
      <c r="H319" t="s">
        <v>41</v>
      </c>
      <c r="I319" s="3">
        <v>1418.29</v>
      </c>
      <c r="J319" t="s">
        <v>15</v>
      </c>
      <c r="K319" s="4">
        <v>0.8</v>
      </c>
      <c r="L319" s="3">
        <f t="shared" si="16"/>
        <v>1134.6320000000001</v>
      </c>
      <c r="M319" s="3">
        <f t="shared" si="17"/>
        <v>283.6579999999999</v>
      </c>
      <c r="N319">
        <f t="shared" si="18"/>
        <v>1</v>
      </c>
      <c r="O319" s="3">
        <f t="shared" si="19"/>
        <v>1418.29</v>
      </c>
      <c r="P319" t="str" cm="1">
        <f t="array" ref="P319">_xlfn.IFS(C319&lt;18, "Under 18", C319&lt;36, "Btw 18&amp;35", C319&lt;51, "Btw 36&amp;50", C319&lt;66, "Btw 51&amp;65", C319&gt;=66," 66&amp;Above")</f>
        <v>Btw 36&amp;50</v>
      </c>
    </row>
    <row r="320" spans="1:16">
      <c r="A320" t="s">
        <v>656</v>
      </c>
      <c r="B320" t="s">
        <v>657</v>
      </c>
      <c r="C320">
        <v>77</v>
      </c>
      <c r="D320" t="s">
        <v>12</v>
      </c>
      <c r="E320" s="2">
        <v>45405</v>
      </c>
      <c r="F320" s="2">
        <v>45408</v>
      </c>
      <c r="G320" t="s">
        <v>23</v>
      </c>
      <c r="H320" t="s">
        <v>221</v>
      </c>
      <c r="I320" s="3">
        <v>4818.3999999999996</v>
      </c>
      <c r="J320" t="s">
        <v>15</v>
      </c>
      <c r="K320" s="4">
        <v>0.6</v>
      </c>
      <c r="L320" s="3">
        <f t="shared" si="16"/>
        <v>2891.0399999999995</v>
      </c>
      <c r="M320" s="3">
        <f t="shared" si="17"/>
        <v>1927.36</v>
      </c>
      <c r="N320">
        <f t="shared" si="18"/>
        <v>3</v>
      </c>
      <c r="O320" s="3">
        <f t="shared" si="19"/>
        <v>4818.3999999999996</v>
      </c>
      <c r="P320" t="str" cm="1">
        <f t="array" ref="P320">_xlfn.IFS(C320&lt;18, "Under 18", C320&lt;36, "Btw 18&amp;35", C320&lt;51, "Btw 36&amp;50", C320&lt;66, "Btw 51&amp;65", C320&gt;=66," 66&amp;Above")</f>
        <v xml:space="preserve"> 66&amp;Above</v>
      </c>
    </row>
    <row r="321" spans="1:16">
      <c r="A321" t="s">
        <v>658</v>
      </c>
      <c r="B321" t="s">
        <v>146</v>
      </c>
      <c r="C321">
        <v>51</v>
      </c>
      <c r="D321" t="s">
        <v>12</v>
      </c>
      <c r="E321" s="2">
        <v>45343</v>
      </c>
      <c r="F321" s="2">
        <v>45344</v>
      </c>
      <c r="G321" t="s">
        <v>23</v>
      </c>
      <c r="H321" t="s">
        <v>24</v>
      </c>
      <c r="I321" s="3">
        <v>1333.29</v>
      </c>
      <c r="J321" t="s">
        <v>15</v>
      </c>
      <c r="K321" s="4">
        <v>0.7</v>
      </c>
      <c r="L321" s="3">
        <f t="shared" si="16"/>
        <v>933.30299999999988</v>
      </c>
      <c r="M321" s="3">
        <f t="shared" si="17"/>
        <v>399.98700000000002</v>
      </c>
      <c r="N321">
        <f t="shared" si="18"/>
        <v>1</v>
      </c>
      <c r="O321" s="3">
        <f t="shared" si="19"/>
        <v>1333.29</v>
      </c>
      <c r="P321" t="str" cm="1">
        <f t="array" ref="P321">_xlfn.IFS(C321&lt;18, "Under 18", C321&lt;36, "Btw 18&amp;35", C321&lt;51, "Btw 36&amp;50", C321&lt;66, "Btw 51&amp;65", C321&gt;=66," 66&amp;Above")</f>
        <v>Btw 51&amp;65</v>
      </c>
    </row>
    <row r="322" spans="1:16">
      <c r="A322" t="s">
        <v>659</v>
      </c>
      <c r="B322" t="s">
        <v>660</v>
      </c>
      <c r="C322">
        <v>34</v>
      </c>
      <c r="D322" t="s">
        <v>18</v>
      </c>
      <c r="E322" s="2">
        <v>45743</v>
      </c>
      <c r="F322" s="2">
        <v>45744</v>
      </c>
      <c r="G322" t="s">
        <v>23</v>
      </c>
      <c r="H322" t="s">
        <v>221</v>
      </c>
      <c r="I322" s="3">
        <v>1437.43</v>
      </c>
      <c r="J322" t="s">
        <v>15</v>
      </c>
      <c r="K322" s="4">
        <v>1</v>
      </c>
      <c r="L322" s="3">
        <f t="shared" si="16"/>
        <v>1437.43</v>
      </c>
      <c r="M322" s="3">
        <f t="shared" si="17"/>
        <v>0</v>
      </c>
      <c r="N322">
        <f t="shared" si="18"/>
        <v>1</v>
      </c>
      <c r="O322" s="3">
        <f t="shared" si="19"/>
        <v>1437.43</v>
      </c>
      <c r="P322" t="str" cm="1">
        <f t="array" ref="P322">_xlfn.IFS(C322&lt;18, "Under 18", C322&lt;36, "Btw 18&amp;35", C322&lt;51, "Btw 36&amp;50", C322&lt;66, "Btw 51&amp;65", C322&gt;=66," 66&amp;Above")</f>
        <v>Btw 18&amp;35</v>
      </c>
    </row>
    <row r="323" spans="1:16">
      <c r="A323" t="s">
        <v>661</v>
      </c>
      <c r="B323" t="s">
        <v>662</v>
      </c>
      <c r="C323">
        <v>64</v>
      </c>
      <c r="D323" t="s">
        <v>12</v>
      </c>
      <c r="E323" s="2">
        <v>45819</v>
      </c>
      <c r="F323" s="2">
        <v>45822</v>
      </c>
      <c r="G323" t="s">
        <v>31</v>
      </c>
      <c r="H323" t="s">
        <v>87</v>
      </c>
      <c r="I323" s="3">
        <v>2608.29</v>
      </c>
      <c r="J323" t="s">
        <v>15</v>
      </c>
      <c r="K323" s="4">
        <v>0</v>
      </c>
      <c r="L323" s="3">
        <f t="shared" ref="L323:L386" si="20">I323*K323</f>
        <v>0</v>
      </c>
      <c r="M323" s="3">
        <f t="shared" ref="M323:M386" si="21">(100%-K323)*I323</f>
        <v>2608.29</v>
      </c>
      <c r="N323">
        <f t="shared" ref="N323:N386" si="22">_xlfn.DAYS(F323,E323)</f>
        <v>3</v>
      </c>
      <c r="O323" s="3">
        <f t="shared" ref="O323:O386" si="23">IF(J323="Paid", I323, 0)</f>
        <v>2608.29</v>
      </c>
      <c r="P323" t="str" cm="1">
        <f t="array" ref="P323">_xlfn.IFS(C323&lt;18, "Under 18", C323&lt;36, "Btw 18&amp;35", C323&lt;51, "Btw 36&amp;50", C323&lt;66, "Btw 51&amp;65", C323&gt;=66," 66&amp;Above")</f>
        <v>Btw 51&amp;65</v>
      </c>
    </row>
    <row r="324" spans="1:16">
      <c r="A324" t="s">
        <v>663</v>
      </c>
      <c r="B324" t="s">
        <v>664</v>
      </c>
      <c r="C324">
        <v>8</v>
      </c>
      <c r="D324" t="s">
        <v>18</v>
      </c>
      <c r="E324" s="2">
        <v>45426</v>
      </c>
      <c r="F324" s="2">
        <v>45430</v>
      </c>
      <c r="G324" t="s">
        <v>49</v>
      </c>
      <c r="H324" t="s">
        <v>130</v>
      </c>
      <c r="I324" s="3">
        <v>6107.32</v>
      </c>
      <c r="J324" t="s">
        <v>15</v>
      </c>
      <c r="K324" s="4">
        <v>0.8</v>
      </c>
      <c r="L324" s="3">
        <f t="shared" si="20"/>
        <v>4885.8559999999998</v>
      </c>
      <c r="M324" s="3">
        <f t="shared" si="21"/>
        <v>1221.4639999999997</v>
      </c>
      <c r="N324">
        <f t="shared" si="22"/>
        <v>4</v>
      </c>
      <c r="O324" s="3">
        <f t="shared" si="23"/>
        <v>6107.32</v>
      </c>
      <c r="P324" t="str" cm="1">
        <f t="array" ref="P324">_xlfn.IFS(C324&lt;18, "Under 18", C324&lt;36, "Btw 18&amp;35", C324&lt;51, "Btw 36&amp;50", C324&lt;66, "Btw 51&amp;65", C324&gt;=66," 66&amp;Above")</f>
        <v>Under 18</v>
      </c>
    </row>
    <row r="325" spans="1:16">
      <c r="A325" t="s">
        <v>665</v>
      </c>
      <c r="B325" t="s">
        <v>666</v>
      </c>
      <c r="C325">
        <v>5</v>
      </c>
      <c r="D325" t="s">
        <v>18</v>
      </c>
      <c r="E325" s="2">
        <v>45359</v>
      </c>
      <c r="F325" s="2">
        <v>45360</v>
      </c>
      <c r="G325" t="s">
        <v>49</v>
      </c>
      <c r="H325" t="s">
        <v>120</v>
      </c>
      <c r="I325" s="3">
        <v>763.74</v>
      </c>
      <c r="J325" t="s">
        <v>20</v>
      </c>
      <c r="K325" s="4">
        <v>0.9</v>
      </c>
      <c r="L325" s="3">
        <f t="shared" si="20"/>
        <v>687.36599999999999</v>
      </c>
      <c r="M325" s="3">
        <f t="shared" si="21"/>
        <v>76.373999999999981</v>
      </c>
      <c r="N325">
        <f t="shared" si="22"/>
        <v>1</v>
      </c>
      <c r="O325" s="3">
        <f t="shared" si="23"/>
        <v>0</v>
      </c>
      <c r="P325" t="str" cm="1">
        <f t="array" ref="P325">_xlfn.IFS(C325&lt;18, "Under 18", C325&lt;36, "Btw 18&amp;35", C325&lt;51, "Btw 36&amp;50", C325&lt;66, "Btw 51&amp;65", C325&gt;=66," 66&amp;Above")</f>
        <v>Under 18</v>
      </c>
    </row>
    <row r="326" spans="1:16">
      <c r="A326" t="s">
        <v>667</v>
      </c>
      <c r="B326" t="s">
        <v>668</v>
      </c>
      <c r="C326">
        <v>3</v>
      </c>
      <c r="D326" t="s">
        <v>18</v>
      </c>
      <c r="E326" s="2">
        <v>45833</v>
      </c>
      <c r="F326" s="2">
        <v>45838</v>
      </c>
      <c r="G326" t="s">
        <v>49</v>
      </c>
      <c r="H326" t="s">
        <v>123</v>
      </c>
      <c r="I326" s="3">
        <v>8208.35</v>
      </c>
      <c r="J326" t="s">
        <v>25</v>
      </c>
      <c r="K326" s="4">
        <v>0</v>
      </c>
      <c r="L326" s="3">
        <f t="shared" si="20"/>
        <v>0</v>
      </c>
      <c r="M326" s="3">
        <f t="shared" si="21"/>
        <v>8208.35</v>
      </c>
      <c r="N326">
        <f t="shared" si="22"/>
        <v>5</v>
      </c>
      <c r="O326" s="3">
        <f t="shared" si="23"/>
        <v>0</v>
      </c>
      <c r="P326" t="str" cm="1">
        <f t="array" ref="P326">_xlfn.IFS(C326&lt;18, "Under 18", C326&lt;36, "Btw 18&amp;35", C326&lt;51, "Btw 36&amp;50", C326&lt;66, "Btw 51&amp;65", C326&gt;=66," 66&amp;Above")</f>
        <v>Under 18</v>
      </c>
    </row>
    <row r="327" spans="1:16">
      <c r="A327" t="s">
        <v>669</v>
      </c>
      <c r="B327" t="s">
        <v>670</v>
      </c>
      <c r="C327">
        <v>26</v>
      </c>
      <c r="D327" t="s">
        <v>18</v>
      </c>
      <c r="E327" s="2">
        <v>45484</v>
      </c>
      <c r="F327" s="2">
        <v>45498</v>
      </c>
      <c r="G327" t="s">
        <v>60</v>
      </c>
      <c r="H327" t="s">
        <v>133</v>
      </c>
      <c r="I327" s="3">
        <v>20575.84</v>
      </c>
      <c r="J327" t="s">
        <v>20</v>
      </c>
      <c r="K327" s="4">
        <v>0.8</v>
      </c>
      <c r="L327" s="3">
        <f t="shared" si="20"/>
        <v>16460.672000000002</v>
      </c>
      <c r="M327" s="3">
        <f t="shared" si="21"/>
        <v>4115.1679999999988</v>
      </c>
      <c r="N327">
        <f t="shared" si="22"/>
        <v>14</v>
      </c>
      <c r="O327" s="3">
        <f t="shared" si="23"/>
        <v>0</v>
      </c>
      <c r="P327" t="str" cm="1">
        <f t="array" ref="P327">_xlfn.IFS(C327&lt;18, "Under 18", C327&lt;36, "Btw 18&amp;35", C327&lt;51, "Btw 36&amp;50", C327&lt;66, "Btw 51&amp;65", C327&gt;=66," 66&amp;Above")</f>
        <v>Btw 18&amp;35</v>
      </c>
    </row>
    <row r="328" spans="1:16">
      <c r="A328" t="s">
        <v>671</v>
      </c>
      <c r="B328" t="s">
        <v>672</v>
      </c>
      <c r="C328">
        <v>1</v>
      </c>
      <c r="D328" t="s">
        <v>12</v>
      </c>
      <c r="E328" s="2">
        <v>45863</v>
      </c>
      <c r="F328" s="2">
        <v>45866</v>
      </c>
      <c r="G328" t="s">
        <v>49</v>
      </c>
      <c r="H328" t="s">
        <v>117</v>
      </c>
      <c r="I328" s="3">
        <v>5295.19</v>
      </c>
      <c r="J328" t="s">
        <v>15</v>
      </c>
      <c r="K328" s="4">
        <v>0.9</v>
      </c>
      <c r="L328" s="3">
        <f t="shared" si="20"/>
        <v>4765.6709999999994</v>
      </c>
      <c r="M328" s="3">
        <f t="shared" si="21"/>
        <v>529.51899999999989</v>
      </c>
      <c r="N328">
        <f t="shared" si="22"/>
        <v>3</v>
      </c>
      <c r="O328" s="3">
        <f t="shared" si="23"/>
        <v>5295.19</v>
      </c>
      <c r="P328" t="str" cm="1">
        <f t="array" ref="P328">_xlfn.IFS(C328&lt;18, "Under 18", C328&lt;36, "Btw 18&amp;35", C328&lt;51, "Btw 36&amp;50", C328&lt;66, "Btw 51&amp;65", C328&gt;=66," 66&amp;Above")</f>
        <v>Under 18</v>
      </c>
    </row>
    <row r="329" spans="1:16">
      <c r="A329" t="s">
        <v>673</v>
      </c>
      <c r="B329" t="s">
        <v>674</v>
      </c>
      <c r="C329">
        <v>35</v>
      </c>
      <c r="D329" t="s">
        <v>18</v>
      </c>
      <c r="E329" s="2">
        <v>45973</v>
      </c>
      <c r="F329" s="2">
        <v>45982</v>
      </c>
      <c r="G329" t="s">
        <v>60</v>
      </c>
      <c r="H329" t="s">
        <v>74</v>
      </c>
      <c r="I329" s="3">
        <v>23024.560000000001</v>
      </c>
      <c r="J329" t="s">
        <v>20</v>
      </c>
      <c r="K329" s="4">
        <v>0.7</v>
      </c>
      <c r="L329" s="3">
        <f t="shared" si="20"/>
        <v>16117.191999999999</v>
      </c>
      <c r="M329" s="3">
        <f t="shared" si="21"/>
        <v>6907.3680000000013</v>
      </c>
      <c r="N329">
        <f t="shared" si="22"/>
        <v>9</v>
      </c>
      <c r="O329" s="3">
        <f t="shared" si="23"/>
        <v>0</v>
      </c>
      <c r="P329" t="str" cm="1">
        <f t="array" ref="P329">_xlfn.IFS(C329&lt;18, "Under 18", C329&lt;36, "Btw 18&amp;35", C329&lt;51, "Btw 36&amp;50", C329&lt;66, "Btw 51&amp;65", C329&gt;=66," 66&amp;Above")</f>
        <v>Btw 18&amp;35</v>
      </c>
    </row>
    <row r="330" spans="1:16">
      <c r="A330" t="s">
        <v>675</v>
      </c>
      <c r="B330" t="s">
        <v>433</v>
      </c>
      <c r="C330">
        <v>33</v>
      </c>
      <c r="D330" t="s">
        <v>18</v>
      </c>
      <c r="E330" s="2">
        <v>45782</v>
      </c>
      <c r="F330" s="2">
        <v>45785</v>
      </c>
      <c r="G330" t="s">
        <v>23</v>
      </c>
      <c r="H330" t="s">
        <v>333</v>
      </c>
      <c r="I330" s="3">
        <v>7452.68</v>
      </c>
      <c r="J330" t="s">
        <v>15</v>
      </c>
      <c r="K330" s="4">
        <v>0.7</v>
      </c>
      <c r="L330" s="3">
        <f t="shared" si="20"/>
        <v>5216.8760000000002</v>
      </c>
      <c r="M330" s="3">
        <f t="shared" si="21"/>
        <v>2235.8040000000005</v>
      </c>
      <c r="N330">
        <f t="shared" si="22"/>
        <v>3</v>
      </c>
      <c r="O330" s="3">
        <f t="shared" si="23"/>
        <v>7452.68</v>
      </c>
      <c r="P330" t="str" cm="1">
        <f t="array" ref="P330">_xlfn.IFS(C330&lt;18, "Under 18", C330&lt;36, "Btw 18&amp;35", C330&lt;51, "Btw 36&amp;50", C330&lt;66, "Btw 51&amp;65", C330&gt;=66," 66&amp;Above")</f>
        <v>Btw 18&amp;35</v>
      </c>
    </row>
    <row r="331" spans="1:16">
      <c r="A331" t="s">
        <v>676</v>
      </c>
      <c r="B331" t="s">
        <v>196</v>
      </c>
      <c r="C331">
        <v>80</v>
      </c>
      <c r="D331" t="s">
        <v>12</v>
      </c>
      <c r="E331" s="2">
        <v>45354</v>
      </c>
      <c r="F331" s="2">
        <v>45362</v>
      </c>
      <c r="G331" t="s">
        <v>70</v>
      </c>
      <c r="H331" t="s">
        <v>237</v>
      </c>
      <c r="I331" s="3">
        <v>10908.13</v>
      </c>
      <c r="J331" t="s">
        <v>15</v>
      </c>
      <c r="K331" s="4">
        <v>0.6</v>
      </c>
      <c r="L331" s="3">
        <f t="shared" si="20"/>
        <v>6544.8779999999997</v>
      </c>
      <c r="M331" s="3">
        <f t="shared" si="21"/>
        <v>4363.2519999999995</v>
      </c>
      <c r="N331">
        <f t="shared" si="22"/>
        <v>8</v>
      </c>
      <c r="O331" s="3">
        <f t="shared" si="23"/>
        <v>10908.13</v>
      </c>
      <c r="P331" t="str" cm="1">
        <f t="array" ref="P331">_xlfn.IFS(C331&lt;18, "Under 18", C331&lt;36, "Btw 18&amp;35", C331&lt;51, "Btw 36&amp;50", C331&lt;66, "Btw 51&amp;65", C331&gt;=66," 66&amp;Above")</f>
        <v xml:space="preserve"> 66&amp;Above</v>
      </c>
    </row>
    <row r="332" spans="1:16">
      <c r="A332" t="s">
        <v>677</v>
      </c>
      <c r="B332" t="s">
        <v>46</v>
      </c>
      <c r="C332">
        <v>27</v>
      </c>
      <c r="D332" t="s">
        <v>12</v>
      </c>
      <c r="E332" s="2">
        <v>45405</v>
      </c>
      <c r="F332" s="2">
        <v>45411</v>
      </c>
      <c r="G332" t="s">
        <v>31</v>
      </c>
      <c r="H332" t="s">
        <v>114</v>
      </c>
      <c r="I332" s="3">
        <v>7501.37</v>
      </c>
      <c r="J332" t="s">
        <v>25</v>
      </c>
      <c r="K332" s="4">
        <v>0.7</v>
      </c>
      <c r="L332" s="3">
        <f t="shared" si="20"/>
        <v>5250.9589999999998</v>
      </c>
      <c r="M332" s="3">
        <f t="shared" si="21"/>
        <v>2250.4110000000005</v>
      </c>
      <c r="N332">
        <f t="shared" si="22"/>
        <v>6</v>
      </c>
      <c r="O332" s="3">
        <f t="shared" si="23"/>
        <v>0</v>
      </c>
      <c r="P332" t="str" cm="1">
        <f t="array" ref="P332">_xlfn.IFS(C332&lt;18, "Under 18", C332&lt;36, "Btw 18&amp;35", C332&lt;51, "Btw 36&amp;50", C332&lt;66, "Btw 51&amp;65", C332&gt;=66," 66&amp;Above")</f>
        <v>Btw 18&amp;35</v>
      </c>
    </row>
    <row r="333" spans="1:16">
      <c r="A333" t="s">
        <v>678</v>
      </c>
      <c r="B333" t="s">
        <v>300</v>
      </c>
      <c r="C333">
        <v>61</v>
      </c>
      <c r="D333" t="s">
        <v>18</v>
      </c>
      <c r="E333" s="2">
        <v>45771</v>
      </c>
      <c r="F333" s="2">
        <v>45772</v>
      </c>
      <c r="G333" t="s">
        <v>23</v>
      </c>
      <c r="H333" t="s">
        <v>333</v>
      </c>
      <c r="I333" s="3">
        <v>1264.69</v>
      </c>
      <c r="J333" t="s">
        <v>15</v>
      </c>
      <c r="K333" s="4">
        <v>0.9</v>
      </c>
      <c r="L333" s="3">
        <f t="shared" si="20"/>
        <v>1138.221</v>
      </c>
      <c r="M333" s="3">
        <f t="shared" si="21"/>
        <v>126.46899999999998</v>
      </c>
      <c r="N333">
        <f t="shared" si="22"/>
        <v>1</v>
      </c>
      <c r="O333" s="3">
        <f t="shared" si="23"/>
        <v>1264.69</v>
      </c>
      <c r="P333" t="str" cm="1">
        <f t="array" ref="P333">_xlfn.IFS(C333&lt;18, "Under 18", C333&lt;36, "Btw 18&amp;35", C333&lt;51, "Btw 36&amp;50", C333&lt;66, "Btw 51&amp;65", C333&gt;=66," 66&amp;Above")</f>
        <v>Btw 51&amp;65</v>
      </c>
    </row>
    <row r="334" spans="1:16">
      <c r="A334" t="s">
        <v>679</v>
      </c>
      <c r="B334" t="s">
        <v>680</v>
      </c>
      <c r="C334">
        <v>54</v>
      </c>
      <c r="D334" t="s">
        <v>18</v>
      </c>
      <c r="E334" s="2">
        <v>45420</v>
      </c>
      <c r="F334" s="2">
        <v>45431</v>
      </c>
      <c r="G334" t="s">
        <v>60</v>
      </c>
      <c r="H334" t="s">
        <v>74</v>
      </c>
      <c r="I334" s="3">
        <v>26730.35</v>
      </c>
      <c r="J334" t="s">
        <v>20</v>
      </c>
      <c r="K334" s="4">
        <v>0</v>
      </c>
      <c r="L334" s="3">
        <f t="shared" si="20"/>
        <v>0</v>
      </c>
      <c r="M334" s="3">
        <f t="shared" si="21"/>
        <v>26730.35</v>
      </c>
      <c r="N334">
        <f t="shared" si="22"/>
        <v>11</v>
      </c>
      <c r="O334" s="3">
        <f t="shared" si="23"/>
        <v>0</v>
      </c>
      <c r="P334" t="str" cm="1">
        <f t="array" ref="P334">_xlfn.IFS(C334&lt;18, "Under 18", C334&lt;36, "Btw 18&amp;35", C334&lt;51, "Btw 36&amp;50", C334&lt;66, "Btw 51&amp;65", C334&gt;=66," 66&amp;Above")</f>
        <v>Btw 51&amp;65</v>
      </c>
    </row>
    <row r="335" spans="1:16">
      <c r="A335" t="s">
        <v>681</v>
      </c>
      <c r="B335" t="s">
        <v>468</v>
      </c>
      <c r="C335">
        <v>57</v>
      </c>
      <c r="D335" t="s">
        <v>18</v>
      </c>
      <c r="E335" s="2">
        <v>45746</v>
      </c>
      <c r="F335" s="2">
        <v>45749</v>
      </c>
      <c r="G335" t="s">
        <v>70</v>
      </c>
      <c r="H335" t="s">
        <v>94</v>
      </c>
      <c r="I335" s="3">
        <v>6655.97</v>
      </c>
      <c r="J335" t="s">
        <v>20</v>
      </c>
      <c r="K335" s="4">
        <v>0.6</v>
      </c>
      <c r="L335" s="3">
        <f t="shared" si="20"/>
        <v>3993.5819999999999</v>
      </c>
      <c r="M335" s="3">
        <f t="shared" si="21"/>
        <v>2662.3880000000004</v>
      </c>
      <c r="N335">
        <f t="shared" si="22"/>
        <v>3</v>
      </c>
      <c r="O335" s="3">
        <f t="shared" si="23"/>
        <v>0</v>
      </c>
      <c r="P335" t="str" cm="1">
        <f t="array" ref="P335">_xlfn.IFS(C335&lt;18, "Under 18", C335&lt;36, "Btw 18&amp;35", C335&lt;51, "Btw 36&amp;50", C335&lt;66, "Btw 51&amp;65", C335&gt;=66," 66&amp;Above")</f>
        <v>Btw 51&amp;65</v>
      </c>
    </row>
    <row r="336" spans="1:16">
      <c r="A336" t="s">
        <v>682</v>
      </c>
      <c r="B336" t="s">
        <v>332</v>
      </c>
      <c r="C336">
        <v>63</v>
      </c>
      <c r="D336" t="s">
        <v>12</v>
      </c>
      <c r="E336" s="2">
        <v>45354</v>
      </c>
      <c r="F336" s="2">
        <v>45362</v>
      </c>
      <c r="G336" t="s">
        <v>13</v>
      </c>
      <c r="H336" t="s">
        <v>111</v>
      </c>
      <c r="I336" s="3">
        <v>11856.84</v>
      </c>
      <c r="J336" t="s">
        <v>20</v>
      </c>
      <c r="K336" s="4">
        <v>0.7</v>
      </c>
      <c r="L336" s="3">
        <f t="shared" si="20"/>
        <v>8299.7880000000005</v>
      </c>
      <c r="M336" s="3">
        <f t="shared" si="21"/>
        <v>3557.0520000000006</v>
      </c>
      <c r="N336">
        <f t="shared" si="22"/>
        <v>8</v>
      </c>
      <c r="O336" s="3">
        <f t="shared" si="23"/>
        <v>0</v>
      </c>
      <c r="P336" t="str" cm="1">
        <f t="array" ref="P336">_xlfn.IFS(C336&lt;18, "Under 18", C336&lt;36, "Btw 18&amp;35", C336&lt;51, "Btw 36&amp;50", C336&lt;66, "Btw 51&amp;65", C336&gt;=66," 66&amp;Above")</f>
        <v>Btw 51&amp;65</v>
      </c>
    </row>
    <row r="337" spans="1:16">
      <c r="A337" t="s">
        <v>683</v>
      </c>
      <c r="B337" t="s">
        <v>684</v>
      </c>
      <c r="C337">
        <v>45</v>
      </c>
      <c r="D337" t="s">
        <v>12</v>
      </c>
      <c r="E337" s="2">
        <v>45767</v>
      </c>
      <c r="F337" s="2">
        <v>45768</v>
      </c>
      <c r="G337" t="s">
        <v>23</v>
      </c>
      <c r="H337" t="s">
        <v>333</v>
      </c>
      <c r="I337" s="3">
        <v>1625.38</v>
      </c>
      <c r="J337" t="s">
        <v>15</v>
      </c>
      <c r="K337" s="4">
        <v>0.8</v>
      </c>
      <c r="L337" s="3">
        <f t="shared" si="20"/>
        <v>1300.3040000000001</v>
      </c>
      <c r="M337" s="3">
        <f t="shared" si="21"/>
        <v>325.07599999999996</v>
      </c>
      <c r="N337">
        <f t="shared" si="22"/>
        <v>1</v>
      </c>
      <c r="O337" s="3">
        <f t="shared" si="23"/>
        <v>1625.38</v>
      </c>
      <c r="P337" t="str" cm="1">
        <f t="array" ref="P337">_xlfn.IFS(C337&lt;18, "Under 18", C337&lt;36, "Btw 18&amp;35", C337&lt;51, "Btw 36&amp;50", C337&lt;66, "Btw 51&amp;65", C337&gt;=66," 66&amp;Above")</f>
        <v>Btw 36&amp;50</v>
      </c>
    </row>
    <row r="338" spans="1:16">
      <c r="A338" t="s">
        <v>685</v>
      </c>
      <c r="B338" t="s">
        <v>686</v>
      </c>
      <c r="C338">
        <v>71</v>
      </c>
      <c r="D338" t="s">
        <v>12</v>
      </c>
      <c r="E338" s="2">
        <v>45996</v>
      </c>
      <c r="F338" s="2">
        <v>46002</v>
      </c>
      <c r="G338" t="s">
        <v>13</v>
      </c>
      <c r="H338" t="s">
        <v>38</v>
      </c>
      <c r="I338" s="3">
        <v>10880.84</v>
      </c>
      <c r="J338" t="s">
        <v>15</v>
      </c>
      <c r="K338" s="4">
        <v>0.8</v>
      </c>
      <c r="L338" s="3">
        <f t="shared" si="20"/>
        <v>8704.6720000000005</v>
      </c>
      <c r="M338" s="3">
        <f t="shared" si="21"/>
        <v>2176.1679999999997</v>
      </c>
      <c r="N338">
        <f t="shared" si="22"/>
        <v>6</v>
      </c>
      <c r="O338" s="3">
        <f t="shared" si="23"/>
        <v>10880.84</v>
      </c>
      <c r="P338" t="str" cm="1">
        <f t="array" ref="P338">_xlfn.IFS(C338&lt;18, "Under 18", C338&lt;36, "Btw 18&amp;35", C338&lt;51, "Btw 36&amp;50", C338&lt;66, "Btw 51&amp;65", C338&gt;=66," 66&amp;Above")</f>
        <v xml:space="preserve"> 66&amp;Above</v>
      </c>
    </row>
    <row r="339" spans="1:16">
      <c r="A339" t="s">
        <v>687</v>
      </c>
      <c r="B339" t="s">
        <v>267</v>
      </c>
      <c r="C339">
        <v>69</v>
      </c>
      <c r="D339" t="s">
        <v>12</v>
      </c>
      <c r="E339" s="2">
        <v>45940</v>
      </c>
      <c r="F339" s="2">
        <v>45941</v>
      </c>
      <c r="G339" t="s">
        <v>31</v>
      </c>
      <c r="H339" t="s">
        <v>114</v>
      </c>
      <c r="I339" s="3">
        <v>1151.51</v>
      </c>
      <c r="J339" t="s">
        <v>20</v>
      </c>
      <c r="K339" s="4">
        <v>0.9</v>
      </c>
      <c r="L339" s="3">
        <f t="shared" si="20"/>
        <v>1036.3589999999999</v>
      </c>
      <c r="M339" s="3">
        <f t="shared" si="21"/>
        <v>115.15099999999997</v>
      </c>
      <c r="N339">
        <f t="shared" si="22"/>
        <v>1</v>
      </c>
      <c r="O339" s="3">
        <f t="shared" si="23"/>
        <v>0</v>
      </c>
      <c r="P339" t="str" cm="1">
        <f t="array" ref="P339">_xlfn.IFS(C339&lt;18, "Under 18", C339&lt;36, "Btw 18&amp;35", C339&lt;51, "Btw 36&amp;50", C339&lt;66, "Btw 51&amp;65", C339&gt;=66," 66&amp;Above")</f>
        <v xml:space="preserve"> 66&amp;Above</v>
      </c>
    </row>
    <row r="340" spans="1:16">
      <c r="A340" t="s">
        <v>688</v>
      </c>
      <c r="B340" t="s">
        <v>139</v>
      </c>
      <c r="C340">
        <v>43</v>
      </c>
      <c r="D340" t="s">
        <v>18</v>
      </c>
      <c r="E340" s="2">
        <v>45434</v>
      </c>
      <c r="F340" s="2">
        <v>45441</v>
      </c>
      <c r="G340" t="s">
        <v>13</v>
      </c>
      <c r="H340" t="s">
        <v>38</v>
      </c>
      <c r="I340" s="3">
        <v>13660.38</v>
      </c>
      <c r="J340" t="s">
        <v>20</v>
      </c>
      <c r="K340" s="4">
        <v>0.5</v>
      </c>
      <c r="L340" s="3">
        <f t="shared" si="20"/>
        <v>6830.19</v>
      </c>
      <c r="M340" s="3">
        <f t="shared" si="21"/>
        <v>6830.19</v>
      </c>
      <c r="N340">
        <f t="shared" si="22"/>
        <v>7</v>
      </c>
      <c r="O340" s="3">
        <f t="shared" si="23"/>
        <v>0</v>
      </c>
      <c r="P340" t="str" cm="1">
        <f t="array" ref="P340">_xlfn.IFS(C340&lt;18, "Under 18", C340&lt;36, "Btw 18&amp;35", C340&lt;51, "Btw 36&amp;50", C340&lt;66, "Btw 51&amp;65", C340&gt;=66," 66&amp;Above")</f>
        <v>Btw 36&amp;50</v>
      </c>
    </row>
    <row r="341" spans="1:16">
      <c r="A341" t="s">
        <v>689</v>
      </c>
      <c r="B341" t="s">
        <v>463</v>
      </c>
      <c r="C341">
        <v>21</v>
      </c>
      <c r="D341" t="s">
        <v>12</v>
      </c>
      <c r="E341" s="2">
        <v>45672</v>
      </c>
      <c r="F341" s="2">
        <v>45676</v>
      </c>
      <c r="G341" t="s">
        <v>31</v>
      </c>
      <c r="H341" t="s">
        <v>114</v>
      </c>
      <c r="I341" s="3">
        <v>5372.91</v>
      </c>
      <c r="J341" t="s">
        <v>15</v>
      </c>
      <c r="K341" s="4">
        <v>0.9</v>
      </c>
      <c r="L341" s="3">
        <f t="shared" si="20"/>
        <v>4835.6189999999997</v>
      </c>
      <c r="M341" s="3">
        <f t="shared" si="21"/>
        <v>537.29099999999983</v>
      </c>
      <c r="N341">
        <f t="shared" si="22"/>
        <v>4</v>
      </c>
      <c r="O341" s="3">
        <f t="shared" si="23"/>
        <v>5372.91</v>
      </c>
      <c r="P341" t="str" cm="1">
        <f t="array" ref="P341">_xlfn.IFS(C341&lt;18, "Under 18", C341&lt;36, "Btw 18&amp;35", C341&lt;51, "Btw 36&amp;50", C341&lt;66, "Btw 51&amp;65", C341&gt;=66," 66&amp;Above")</f>
        <v>Btw 18&amp;35</v>
      </c>
    </row>
    <row r="342" spans="1:16">
      <c r="A342" t="s">
        <v>690</v>
      </c>
      <c r="B342" t="s">
        <v>691</v>
      </c>
      <c r="C342">
        <v>16</v>
      </c>
      <c r="D342" t="s">
        <v>12</v>
      </c>
      <c r="E342" s="2">
        <v>45357</v>
      </c>
      <c r="F342" s="2">
        <v>45360</v>
      </c>
      <c r="G342" t="s">
        <v>49</v>
      </c>
      <c r="H342" t="s">
        <v>378</v>
      </c>
      <c r="I342" s="3">
        <v>5108.66</v>
      </c>
      <c r="J342" t="s">
        <v>15</v>
      </c>
      <c r="K342" s="4">
        <v>0.8</v>
      </c>
      <c r="L342" s="3">
        <f t="shared" si="20"/>
        <v>4086.9279999999999</v>
      </c>
      <c r="M342" s="3">
        <f t="shared" si="21"/>
        <v>1021.7319999999997</v>
      </c>
      <c r="N342">
        <f t="shared" si="22"/>
        <v>3</v>
      </c>
      <c r="O342" s="3">
        <f t="shared" si="23"/>
        <v>5108.66</v>
      </c>
      <c r="P342" t="str" cm="1">
        <f t="array" ref="P342">_xlfn.IFS(C342&lt;18, "Under 18", C342&lt;36, "Btw 18&amp;35", C342&lt;51, "Btw 36&amp;50", C342&lt;66, "Btw 51&amp;65", C342&gt;=66," 66&amp;Above")</f>
        <v>Under 18</v>
      </c>
    </row>
    <row r="343" spans="1:16">
      <c r="A343" t="s">
        <v>692</v>
      </c>
      <c r="B343" t="s">
        <v>693</v>
      </c>
      <c r="C343">
        <v>72</v>
      </c>
      <c r="D343" t="s">
        <v>18</v>
      </c>
      <c r="E343" s="2">
        <v>45778</v>
      </c>
      <c r="F343" s="2">
        <v>45781</v>
      </c>
      <c r="G343" t="s">
        <v>23</v>
      </c>
      <c r="H343" t="s">
        <v>221</v>
      </c>
      <c r="I343" s="3">
        <v>4730.3599999999997</v>
      </c>
      <c r="J343" t="s">
        <v>15</v>
      </c>
      <c r="K343" s="4">
        <v>0.9</v>
      </c>
      <c r="L343" s="3">
        <f t="shared" si="20"/>
        <v>4257.3239999999996</v>
      </c>
      <c r="M343" s="3">
        <f t="shared" si="21"/>
        <v>473.03599999999989</v>
      </c>
      <c r="N343">
        <f t="shared" si="22"/>
        <v>3</v>
      </c>
      <c r="O343" s="3">
        <f t="shared" si="23"/>
        <v>4730.3599999999997</v>
      </c>
      <c r="P343" t="str" cm="1">
        <f t="array" ref="P343">_xlfn.IFS(C343&lt;18, "Under 18", C343&lt;36, "Btw 18&amp;35", C343&lt;51, "Btw 36&amp;50", C343&lt;66, "Btw 51&amp;65", C343&gt;=66," 66&amp;Above")</f>
        <v xml:space="preserve"> 66&amp;Above</v>
      </c>
    </row>
    <row r="344" spans="1:16">
      <c r="A344" t="s">
        <v>694</v>
      </c>
      <c r="B344" t="s">
        <v>695</v>
      </c>
      <c r="C344">
        <v>57</v>
      </c>
      <c r="D344" t="s">
        <v>18</v>
      </c>
      <c r="E344" s="2">
        <v>45670</v>
      </c>
      <c r="F344" s="2">
        <v>45673</v>
      </c>
      <c r="G344" t="s">
        <v>31</v>
      </c>
      <c r="H344" t="s">
        <v>44</v>
      </c>
      <c r="I344" s="3">
        <v>4389.91</v>
      </c>
      <c r="J344" t="s">
        <v>15</v>
      </c>
      <c r="K344" s="4">
        <v>0.8</v>
      </c>
      <c r="L344" s="3">
        <f t="shared" si="20"/>
        <v>3511.9279999999999</v>
      </c>
      <c r="M344" s="3">
        <f t="shared" si="21"/>
        <v>877.98199999999974</v>
      </c>
      <c r="N344">
        <f t="shared" si="22"/>
        <v>3</v>
      </c>
      <c r="O344" s="3">
        <f t="shared" si="23"/>
        <v>4389.91</v>
      </c>
      <c r="P344" t="str" cm="1">
        <f t="array" ref="P344">_xlfn.IFS(C344&lt;18, "Under 18", C344&lt;36, "Btw 18&amp;35", C344&lt;51, "Btw 36&amp;50", C344&lt;66, "Btw 51&amp;65", C344&gt;=66," 66&amp;Above")</f>
        <v>Btw 51&amp;65</v>
      </c>
    </row>
    <row r="345" spans="1:16">
      <c r="A345" t="s">
        <v>696</v>
      </c>
      <c r="B345" t="s">
        <v>697</v>
      </c>
      <c r="C345">
        <v>39</v>
      </c>
      <c r="D345" t="s">
        <v>18</v>
      </c>
      <c r="E345" s="2">
        <v>45906</v>
      </c>
      <c r="F345" s="2">
        <v>45914</v>
      </c>
      <c r="G345" t="s">
        <v>60</v>
      </c>
      <c r="H345" t="s">
        <v>74</v>
      </c>
      <c r="I345" s="3">
        <v>8536.89</v>
      </c>
      <c r="J345" t="s">
        <v>15</v>
      </c>
      <c r="K345" s="4">
        <v>0.8</v>
      </c>
      <c r="L345" s="3">
        <f t="shared" si="20"/>
        <v>6829.5119999999997</v>
      </c>
      <c r="M345" s="3">
        <f t="shared" si="21"/>
        <v>1707.3779999999995</v>
      </c>
      <c r="N345">
        <f t="shared" si="22"/>
        <v>8</v>
      </c>
      <c r="O345" s="3">
        <f t="shared" si="23"/>
        <v>8536.89</v>
      </c>
      <c r="P345" t="str" cm="1">
        <f t="array" ref="P345">_xlfn.IFS(C345&lt;18, "Under 18", C345&lt;36, "Btw 18&amp;35", C345&lt;51, "Btw 36&amp;50", C345&lt;66, "Btw 51&amp;65", C345&gt;=66," 66&amp;Above")</f>
        <v>Btw 36&amp;50</v>
      </c>
    </row>
    <row r="346" spans="1:16">
      <c r="A346" t="s">
        <v>698</v>
      </c>
      <c r="B346" t="s">
        <v>579</v>
      </c>
      <c r="C346">
        <v>12</v>
      </c>
      <c r="D346" t="s">
        <v>18</v>
      </c>
      <c r="E346" s="2">
        <v>45578</v>
      </c>
      <c r="F346" s="2">
        <v>45583</v>
      </c>
      <c r="G346" t="s">
        <v>49</v>
      </c>
      <c r="H346" t="s">
        <v>130</v>
      </c>
      <c r="I346" s="3">
        <v>3347.44</v>
      </c>
      <c r="J346" t="s">
        <v>25</v>
      </c>
      <c r="K346" s="4">
        <v>0</v>
      </c>
      <c r="L346" s="3">
        <f t="shared" si="20"/>
        <v>0</v>
      </c>
      <c r="M346" s="3">
        <f t="shared" si="21"/>
        <v>3347.44</v>
      </c>
      <c r="N346">
        <f t="shared" si="22"/>
        <v>5</v>
      </c>
      <c r="O346" s="3">
        <f t="shared" si="23"/>
        <v>0</v>
      </c>
      <c r="P346" t="str" cm="1">
        <f t="array" ref="P346">_xlfn.IFS(C346&lt;18, "Under 18", C346&lt;36, "Btw 18&amp;35", C346&lt;51, "Btw 36&amp;50", C346&lt;66, "Btw 51&amp;65", C346&gt;=66," 66&amp;Above")</f>
        <v>Under 18</v>
      </c>
    </row>
    <row r="347" spans="1:16">
      <c r="A347" t="s">
        <v>699</v>
      </c>
      <c r="B347" t="s">
        <v>700</v>
      </c>
      <c r="C347">
        <v>57</v>
      </c>
      <c r="D347" t="s">
        <v>18</v>
      </c>
      <c r="E347" s="2">
        <v>45937</v>
      </c>
      <c r="F347" s="2">
        <v>45943</v>
      </c>
      <c r="G347" t="s">
        <v>13</v>
      </c>
      <c r="H347" t="s">
        <v>165</v>
      </c>
      <c r="I347" s="3">
        <v>15565.46</v>
      </c>
      <c r="J347" t="s">
        <v>20</v>
      </c>
      <c r="K347" s="4">
        <v>0.7</v>
      </c>
      <c r="L347" s="3">
        <f t="shared" si="20"/>
        <v>10895.821999999998</v>
      </c>
      <c r="M347" s="3">
        <f t="shared" si="21"/>
        <v>4669.6380000000008</v>
      </c>
      <c r="N347">
        <f t="shared" si="22"/>
        <v>6</v>
      </c>
      <c r="O347" s="3">
        <f t="shared" si="23"/>
        <v>0</v>
      </c>
      <c r="P347" t="str" cm="1">
        <f t="array" ref="P347">_xlfn.IFS(C347&lt;18, "Under 18", C347&lt;36, "Btw 18&amp;35", C347&lt;51, "Btw 36&amp;50", C347&lt;66, "Btw 51&amp;65", C347&gt;=66," 66&amp;Above")</f>
        <v>Btw 51&amp;65</v>
      </c>
    </row>
    <row r="348" spans="1:16">
      <c r="A348" t="s">
        <v>701</v>
      </c>
      <c r="B348" t="s">
        <v>702</v>
      </c>
      <c r="C348">
        <v>52</v>
      </c>
      <c r="D348" t="s">
        <v>12</v>
      </c>
      <c r="E348" s="2">
        <v>45979</v>
      </c>
      <c r="F348" s="2">
        <v>45986</v>
      </c>
      <c r="G348" t="s">
        <v>31</v>
      </c>
      <c r="H348" t="s">
        <v>114</v>
      </c>
      <c r="I348" s="3">
        <v>4507.1400000000003</v>
      </c>
      <c r="J348" t="s">
        <v>25</v>
      </c>
      <c r="K348" s="4">
        <v>0.8</v>
      </c>
      <c r="L348" s="3">
        <f t="shared" si="20"/>
        <v>3605.7120000000004</v>
      </c>
      <c r="M348" s="3">
        <f t="shared" si="21"/>
        <v>901.42799999999988</v>
      </c>
      <c r="N348">
        <f t="shared" si="22"/>
        <v>7</v>
      </c>
      <c r="O348" s="3">
        <f t="shared" si="23"/>
        <v>0</v>
      </c>
      <c r="P348" t="str" cm="1">
        <f t="array" ref="P348">_xlfn.IFS(C348&lt;18, "Under 18", C348&lt;36, "Btw 18&amp;35", C348&lt;51, "Btw 36&amp;50", C348&lt;66, "Btw 51&amp;65", C348&gt;=66," 66&amp;Above")</f>
        <v>Btw 51&amp;65</v>
      </c>
    </row>
    <row r="349" spans="1:16">
      <c r="A349" t="s">
        <v>703</v>
      </c>
      <c r="B349" t="s">
        <v>704</v>
      </c>
      <c r="C349">
        <v>62</v>
      </c>
      <c r="D349" t="s">
        <v>12</v>
      </c>
      <c r="E349" s="2">
        <v>45848</v>
      </c>
      <c r="F349" s="2">
        <v>45855</v>
      </c>
      <c r="G349" t="s">
        <v>13</v>
      </c>
      <c r="H349" t="s">
        <v>14</v>
      </c>
      <c r="I349" s="3">
        <v>10788.07</v>
      </c>
      <c r="J349" t="s">
        <v>20</v>
      </c>
      <c r="K349" s="4">
        <v>0.7</v>
      </c>
      <c r="L349" s="3">
        <f t="shared" si="20"/>
        <v>7551.6489999999994</v>
      </c>
      <c r="M349" s="3">
        <f t="shared" si="21"/>
        <v>3236.4210000000003</v>
      </c>
      <c r="N349">
        <f t="shared" si="22"/>
        <v>7</v>
      </c>
      <c r="O349" s="3">
        <f t="shared" si="23"/>
        <v>0</v>
      </c>
      <c r="P349" t="str" cm="1">
        <f t="array" ref="P349">_xlfn.IFS(C349&lt;18, "Under 18", C349&lt;36, "Btw 18&amp;35", C349&lt;51, "Btw 36&amp;50", C349&lt;66, "Btw 51&amp;65", C349&gt;=66," 66&amp;Above")</f>
        <v>Btw 51&amp;65</v>
      </c>
    </row>
    <row r="350" spans="1:16">
      <c r="A350" t="s">
        <v>705</v>
      </c>
      <c r="B350" t="s">
        <v>706</v>
      </c>
      <c r="C350">
        <v>46</v>
      </c>
      <c r="D350" t="s">
        <v>12</v>
      </c>
      <c r="E350" s="2">
        <v>45431</v>
      </c>
      <c r="F350" s="2">
        <v>45440</v>
      </c>
      <c r="G350" t="s">
        <v>13</v>
      </c>
      <c r="H350" t="s">
        <v>19</v>
      </c>
      <c r="I350" s="3">
        <v>26034.080000000002</v>
      </c>
      <c r="J350" t="s">
        <v>15</v>
      </c>
      <c r="K350" s="4">
        <v>0.8</v>
      </c>
      <c r="L350" s="3">
        <f t="shared" si="20"/>
        <v>20827.264000000003</v>
      </c>
      <c r="M350" s="3">
        <f t="shared" si="21"/>
        <v>5206.8159999999989</v>
      </c>
      <c r="N350">
        <f t="shared" si="22"/>
        <v>9</v>
      </c>
      <c r="O350" s="3">
        <f t="shared" si="23"/>
        <v>26034.080000000002</v>
      </c>
      <c r="P350" t="str" cm="1">
        <f t="array" ref="P350">_xlfn.IFS(C350&lt;18, "Under 18", C350&lt;36, "Btw 18&amp;35", C350&lt;51, "Btw 36&amp;50", C350&lt;66, "Btw 51&amp;65", C350&gt;=66," 66&amp;Above")</f>
        <v>Btw 36&amp;50</v>
      </c>
    </row>
    <row r="351" spans="1:16">
      <c r="A351" t="s">
        <v>707</v>
      </c>
      <c r="B351" t="s">
        <v>708</v>
      </c>
      <c r="C351">
        <v>44</v>
      </c>
      <c r="D351" t="s">
        <v>12</v>
      </c>
      <c r="E351" s="2">
        <v>45525</v>
      </c>
      <c r="F351" s="2">
        <v>45533</v>
      </c>
      <c r="G351" t="s">
        <v>13</v>
      </c>
      <c r="H351" t="s">
        <v>111</v>
      </c>
      <c r="I351" s="3">
        <v>10409.19</v>
      </c>
      <c r="J351" t="s">
        <v>25</v>
      </c>
      <c r="K351" s="4">
        <v>0.9</v>
      </c>
      <c r="L351" s="3">
        <f t="shared" si="20"/>
        <v>9368.2710000000006</v>
      </c>
      <c r="M351" s="3">
        <f t="shared" si="21"/>
        <v>1040.9189999999999</v>
      </c>
      <c r="N351">
        <f t="shared" si="22"/>
        <v>8</v>
      </c>
      <c r="O351" s="3">
        <f t="shared" si="23"/>
        <v>0</v>
      </c>
      <c r="P351" t="str" cm="1">
        <f t="array" ref="P351">_xlfn.IFS(C351&lt;18, "Under 18", C351&lt;36, "Btw 18&amp;35", C351&lt;51, "Btw 36&amp;50", C351&lt;66, "Btw 51&amp;65", C351&gt;=66," 66&amp;Above")</f>
        <v>Btw 36&amp;50</v>
      </c>
    </row>
    <row r="352" spans="1:16">
      <c r="A352" t="s">
        <v>709</v>
      </c>
      <c r="B352" t="s">
        <v>710</v>
      </c>
      <c r="C352">
        <v>62</v>
      </c>
      <c r="D352" t="s">
        <v>18</v>
      </c>
      <c r="E352" s="2">
        <v>45506</v>
      </c>
      <c r="F352" s="2">
        <v>45507</v>
      </c>
      <c r="G352" t="s">
        <v>23</v>
      </c>
      <c r="H352" t="s">
        <v>333</v>
      </c>
      <c r="I352" s="3">
        <v>1428.8</v>
      </c>
      <c r="J352" t="s">
        <v>20</v>
      </c>
      <c r="K352" s="4">
        <v>0.8</v>
      </c>
      <c r="L352" s="3">
        <f t="shared" si="20"/>
        <v>1143.04</v>
      </c>
      <c r="M352" s="3">
        <f t="shared" si="21"/>
        <v>285.75999999999993</v>
      </c>
      <c r="N352">
        <f t="shared" si="22"/>
        <v>1</v>
      </c>
      <c r="O352" s="3">
        <f t="shared" si="23"/>
        <v>0</v>
      </c>
      <c r="P352" t="str" cm="1">
        <f t="array" ref="P352">_xlfn.IFS(C352&lt;18, "Under 18", C352&lt;36, "Btw 18&amp;35", C352&lt;51, "Btw 36&amp;50", C352&lt;66, "Btw 51&amp;65", C352&gt;=66," 66&amp;Above")</f>
        <v>Btw 51&amp;65</v>
      </c>
    </row>
    <row r="353" spans="1:16">
      <c r="A353" t="s">
        <v>711</v>
      </c>
      <c r="B353" t="s">
        <v>712</v>
      </c>
      <c r="C353">
        <v>73</v>
      </c>
      <c r="D353" t="s">
        <v>18</v>
      </c>
      <c r="E353" s="2">
        <v>45799</v>
      </c>
      <c r="F353" s="2">
        <v>45802</v>
      </c>
      <c r="G353" t="s">
        <v>23</v>
      </c>
      <c r="H353" t="s">
        <v>204</v>
      </c>
      <c r="I353" s="3">
        <v>6491.42</v>
      </c>
      <c r="J353" t="s">
        <v>25</v>
      </c>
      <c r="K353" s="4">
        <v>0</v>
      </c>
      <c r="L353" s="3">
        <f t="shared" si="20"/>
        <v>0</v>
      </c>
      <c r="M353" s="3">
        <f t="shared" si="21"/>
        <v>6491.42</v>
      </c>
      <c r="N353">
        <f t="shared" si="22"/>
        <v>3</v>
      </c>
      <c r="O353" s="3">
        <f t="shared" si="23"/>
        <v>0</v>
      </c>
      <c r="P353" t="str" cm="1">
        <f t="array" ref="P353">_xlfn.IFS(C353&lt;18, "Under 18", C353&lt;36, "Btw 18&amp;35", C353&lt;51, "Btw 36&amp;50", C353&lt;66, "Btw 51&amp;65", C353&gt;=66," 66&amp;Above")</f>
        <v xml:space="preserve"> 66&amp;Above</v>
      </c>
    </row>
    <row r="354" spans="1:16">
      <c r="A354" t="s">
        <v>713</v>
      </c>
      <c r="B354" t="s">
        <v>714</v>
      </c>
      <c r="C354">
        <v>80</v>
      </c>
      <c r="D354" t="s">
        <v>18</v>
      </c>
      <c r="E354" s="2">
        <v>45736</v>
      </c>
      <c r="F354" s="2">
        <v>45739</v>
      </c>
      <c r="G354" t="s">
        <v>23</v>
      </c>
      <c r="H354" t="s">
        <v>221</v>
      </c>
      <c r="I354" s="3">
        <v>2816.11</v>
      </c>
      <c r="J354" t="s">
        <v>25</v>
      </c>
      <c r="K354" s="4">
        <v>0.8</v>
      </c>
      <c r="L354" s="3">
        <f t="shared" si="20"/>
        <v>2252.8880000000004</v>
      </c>
      <c r="M354" s="3">
        <f t="shared" si="21"/>
        <v>563.22199999999987</v>
      </c>
      <c r="N354">
        <f t="shared" si="22"/>
        <v>3</v>
      </c>
      <c r="O354" s="3">
        <f t="shared" si="23"/>
        <v>0</v>
      </c>
      <c r="P354" t="str" cm="1">
        <f t="array" ref="P354">_xlfn.IFS(C354&lt;18, "Under 18", C354&lt;36, "Btw 18&amp;35", C354&lt;51, "Btw 36&amp;50", C354&lt;66, "Btw 51&amp;65", C354&gt;=66," 66&amp;Above")</f>
        <v xml:space="preserve"> 66&amp;Above</v>
      </c>
    </row>
    <row r="355" spans="1:16">
      <c r="A355" t="s">
        <v>715</v>
      </c>
      <c r="B355" t="s">
        <v>196</v>
      </c>
      <c r="C355">
        <v>12</v>
      </c>
      <c r="D355" t="s">
        <v>12</v>
      </c>
      <c r="E355" s="2">
        <v>45989</v>
      </c>
      <c r="F355" s="2">
        <v>45994</v>
      </c>
      <c r="G355" t="s">
        <v>49</v>
      </c>
      <c r="H355" t="s">
        <v>120</v>
      </c>
      <c r="I355" s="3">
        <v>6337.74</v>
      </c>
      <c r="J355" t="s">
        <v>20</v>
      </c>
      <c r="K355" s="4">
        <v>0.6</v>
      </c>
      <c r="L355" s="3">
        <f t="shared" si="20"/>
        <v>3802.6439999999998</v>
      </c>
      <c r="M355" s="3">
        <f t="shared" si="21"/>
        <v>2535.096</v>
      </c>
      <c r="N355">
        <f t="shared" si="22"/>
        <v>5</v>
      </c>
      <c r="O355" s="3">
        <f t="shared" si="23"/>
        <v>0</v>
      </c>
      <c r="P355" t="str" cm="1">
        <f t="array" ref="P355">_xlfn.IFS(C355&lt;18, "Under 18", C355&lt;36, "Btw 18&amp;35", C355&lt;51, "Btw 36&amp;50", C355&lt;66, "Btw 51&amp;65", C355&gt;=66," 66&amp;Above")</f>
        <v>Under 18</v>
      </c>
    </row>
    <row r="356" spans="1:16">
      <c r="A356" t="s">
        <v>716</v>
      </c>
      <c r="B356" t="s">
        <v>717</v>
      </c>
      <c r="C356">
        <v>48</v>
      </c>
      <c r="D356" t="s">
        <v>18</v>
      </c>
      <c r="E356" s="2">
        <v>45398</v>
      </c>
      <c r="F356" s="2">
        <v>45405</v>
      </c>
      <c r="G356" t="s">
        <v>31</v>
      </c>
      <c r="H356" t="s">
        <v>87</v>
      </c>
      <c r="I356" s="3">
        <v>8162.88</v>
      </c>
      <c r="J356" t="s">
        <v>15</v>
      </c>
      <c r="K356" s="4">
        <v>0.6</v>
      </c>
      <c r="L356" s="3">
        <f t="shared" si="20"/>
        <v>4897.7280000000001</v>
      </c>
      <c r="M356" s="3">
        <f t="shared" si="21"/>
        <v>3265.152</v>
      </c>
      <c r="N356">
        <f t="shared" si="22"/>
        <v>7</v>
      </c>
      <c r="O356" s="3">
        <f t="shared" si="23"/>
        <v>8162.88</v>
      </c>
      <c r="P356" t="str" cm="1">
        <f t="array" ref="P356">_xlfn.IFS(C356&lt;18, "Under 18", C356&lt;36, "Btw 18&amp;35", C356&lt;51, "Btw 36&amp;50", C356&lt;66, "Btw 51&amp;65", C356&gt;=66," 66&amp;Above")</f>
        <v>Btw 36&amp;50</v>
      </c>
    </row>
    <row r="357" spans="1:16">
      <c r="A357" t="s">
        <v>718</v>
      </c>
      <c r="B357" t="s">
        <v>719</v>
      </c>
      <c r="C357">
        <v>69</v>
      </c>
      <c r="D357" t="s">
        <v>12</v>
      </c>
      <c r="E357" s="2">
        <v>45706</v>
      </c>
      <c r="F357" s="2">
        <v>45708</v>
      </c>
      <c r="G357" t="s">
        <v>31</v>
      </c>
      <c r="H357" t="s">
        <v>35</v>
      </c>
      <c r="I357" s="3">
        <v>2495.13</v>
      </c>
      <c r="J357" t="s">
        <v>15</v>
      </c>
      <c r="K357" s="4">
        <v>0.7</v>
      </c>
      <c r="L357" s="3">
        <f t="shared" si="20"/>
        <v>1746.5909999999999</v>
      </c>
      <c r="M357" s="3">
        <f t="shared" si="21"/>
        <v>748.5390000000001</v>
      </c>
      <c r="N357">
        <f t="shared" si="22"/>
        <v>2</v>
      </c>
      <c r="O357" s="3">
        <f t="shared" si="23"/>
        <v>2495.13</v>
      </c>
      <c r="P357" t="str" cm="1">
        <f t="array" ref="P357">_xlfn.IFS(C357&lt;18, "Under 18", C357&lt;36, "Btw 18&amp;35", C357&lt;51, "Btw 36&amp;50", C357&lt;66, "Btw 51&amp;65", C357&gt;=66," 66&amp;Above")</f>
        <v xml:space="preserve"> 66&amp;Above</v>
      </c>
    </row>
    <row r="358" spans="1:16">
      <c r="A358" t="s">
        <v>720</v>
      </c>
      <c r="B358" t="s">
        <v>721</v>
      </c>
      <c r="C358">
        <v>16</v>
      </c>
      <c r="D358" t="s">
        <v>18</v>
      </c>
      <c r="E358" s="2">
        <v>45454</v>
      </c>
      <c r="F358" s="2">
        <v>45455</v>
      </c>
      <c r="G358" t="s">
        <v>49</v>
      </c>
      <c r="H358" t="s">
        <v>120</v>
      </c>
      <c r="I358" s="3">
        <v>1054.1400000000001</v>
      </c>
      <c r="J358" t="s">
        <v>20</v>
      </c>
      <c r="K358" s="4">
        <v>0.5</v>
      </c>
      <c r="L358" s="3">
        <f t="shared" si="20"/>
        <v>527.07000000000005</v>
      </c>
      <c r="M358" s="3">
        <f t="shared" si="21"/>
        <v>527.07000000000005</v>
      </c>
      <c r="N358">
        <f t="shared" si="22"/>
        <v>1</v>
      </c>
      <c r="O358" s="3">
        <f t="shared" si="23"/>
        <v>0</v>
      </c>
      <c r="P358" t="str" cm="1">
        <f t="array" ref="P358">_xlfn.IFS(C358&lt;18, "Under 18", C358&lt;36, "Btw 18&amp;35", C358&lt;51, "Btw 36&amp;50", C358&lt;66, "Btw 51&amp;65", C358&gt;=66," 66&amp;Above")</f>
        <v>Under 18</v>
      </c>
    </row>
    <row r="359" spans="1:16">
      <c r="A359" t="s">
        <v>722</v>
      </c>
      <c r="B359" t="s">
        <v>723</v>
      </c>
      <c r="C359">
        <v>73</v>
      </c>
      <c r="D359" t="s">
        <v>18</v>
      </c>
      <c r="E359" s="2">
        <v>45746</v>
      </c>
      <c r="F359" s="2">
        <v>45747</v>
      </c>
      <c r="G359" t="s">
        <v>23</v>
      </c>
      <c r="H359" t="s">
        <v>82</v>
      </c>
      <c r="I359" s="3">
        <v>1251.25</v>
      </c>
      <c r="J359" t="s">
        <v>15</v>
      </c>
      <c r="K359" s="4">
        <v>0.8</v>
      </c>
      <c r="L359" s="3">
        <f t="shared" si="20"/>
        <v>1001</v>
      </c>
      <c r="M359" s="3">
        <f t="shared" si="21"/>
        <v>250.24999999999994</v>
      </c>
      <c r="N359">
        <f t="shared" si="22"/>
        <v>1</v>
      </c>
      <c r="O359" s="3">
        <f t="shared" si="23"/>
        <v>1251.25</v>
      </c>
      <c r="P359" t="str" cm="1">
        <f t="array" ref="P359">_xlfn.IFS(C359&lt;18, "Under 18", C359&lt;36, "Btw 18&amp;35", C359&lt;51, "Btw 36&amp;50", C359&lt;66, "Btw 51&amp;65", C359&gt;=66," 66&amp;Above")</f>
        <v xml:space="preserve"> 66&amp;Above</v>
      </c>
    </row>
    <row r="360" spans="1:16">
      <c r="A360" t="s">
        <v>724</v>
      </c>
      <c r="B360" t="s">
        <v>725</v>
      </c>
      <c r="C360">
        <v>53</v>
      </c>
      <c r="D360" t="s">
        <v>12</v>
      </c>
      <c r="E360" s="2">
        <v>45736</v>
      </c>
      <c r="F360" s="2">
        <v>45742</v>
      </c>
      <c r="G360" t="s">
        <v>13</v>
      </c>
      <c r="H360" t="s">
        <v>111</v>
      </c>
      <c r="I360" s="3">
        <v>16598.080000000002</v>
      </c>
      <c r="J360" t="s">
        <v>15</v>
      </c>
      <c r="K360" s="4">
        <v>0.8</v>
      </c>
      <c r="L360" s="3">
        <f t="shared" si="20"/>
        <v>13278.464000000002</v>
      </c>
      <c r="M360" s="3">
        <f t="shared" si="21"/>
        <v>3319.6159999999995</v>
      </c>
      <c r="N360">
        <f t="shared" si="22"/>
        <v>6</v>
      </c>
      <c r="O360" s="3">
        <f t="shared" si="23"/>
        <v>16598.080000000002</v>
      </c>
      <c r="P360" t="str" cm="1">
        <f t="array" ref="P360">_xlfn.IFS(C360&lt;18, "Under 18", C360&lt;36, "Btw 18&amp;35", C360&lt;51, "Btw 36&amp;50", C360&lt;66, "Btw 51&amp;65", C360&gt;=66," 66&amp;Above")</f>
        <v>Btw 51&amp;65</v>
      </c>
    </row>
    <row r="361" spans="1:16">
      <c r="A361" t="s">
        <v>726</v>
      </c>
      <c r="B361" t="s">
        <v>727</v>
      </c>
      <c r="C361">
        <v>46</v>
      </c>
      <c r="D361" t="s">
        <v>18</v>
      </c>
      <c r="E361" s="2">
        <v>45569</v>
      </c>
      <c r="F361" s="2">
        <v>45573</v>
      </c>
      <c r="G361" t="s">
        <v>31</v>
      </c>
      <c r="H361" t="s">
        <v>234</v>
      </c>
      <c r="I361" s="3">
        <v>4875.57</v>
      </c>
      <c r="J361" t="s">
        <v>15</v>
      </c>
      <c r="K361" s="4">
        <v>0.9</v>
      </c>
      <c r="L361" s="3">
        <f t="shared" si="20"/>
        <v>4388.0129999999999</v>
      </c>
      <c r="M361" s="3">
        <f t="shared" si="21"/>
        <v>487.55699999999985</v>
      </c>
      <c r="N361">
        <f t="shared" si="22"/>
        <v>4</v>
      </c>
      <c r="O361" s="3">
        <f t="shared" si="23"/>
        <v>4875.57</v>
      </c>
      <c r="P361" t="str" cm="1">
        <f t="array" ref="P361">_xlfn.IFS(C361&lt;18, "Under 18", C361&lt;36, "Btw 18&amp;35", C361&lt;51, "Btw 36&amp;50", C361&lt;66, "Btw 51&amp;65", C361&gt;=66," 66&amp;Above")</f>
        <v>Btw 36&amp;50</v>
      </c>
    </row>
    <row r="362" spans="1:16">
      <c r="A362" t="s">
        <v>728</v>
      </c>
      <c r="B362" t="s">
        <v>729</v>
      </c>
      <c r="C362">
        <v>53</v>
      </c>
      <c r="D362" t="s">
        <v>12</v>
      </c>
      <c r="E362" s="2">
        <v>45993</v>
      </c>
      <c r="F362" s="2">
        <v>45998</v>
      </c>
      <c r="G362" t="s">
        <v>70</v>
      </c>
      <c r="H362" t="s">
        <v>237</v>
      </c>
      <c r="I362" s="3">
        <v>12181.3</v>
      </c>
      <c r="J362" t="s">
        <v>15</v>
      </c>
      <c r="K362" s="4">
        <v>0.5</v>
      </c>
      <c r="L362" s="3">
        <f t="shared" si="20"/>
        <v>6090.65</v>
      </c>
      <c r="M362" s="3">
        <f t="shared" si="21"/>
        <v>6090.65</v>
      </c>
      <c r="N362">
        <f t="shared" si="22"/>
        <v>5</v>
      </c>
      <c r="O362" s="3">
        <f t="shared" si="23"/>
        <v>12181.3</v>
      </c>
      <c r="P362" t="str" cm="1">
        <f t="array" ref="P362">_xlfn.IFS(C362&lt;18, "Under 18", C362&lt;36, "Btw 18&amp;35", C362&lt;51, "Btw 36&amp;50", C362&lt;66, "Btw 51&amp;65", C362&gt;=66," 66&amp;Above")</f>
        <v>Btw 51&amp;65</v>
      </c>
    </row>
    <row r="363" spans="1:16">
      <c r="A363" t="s">
        <v>730</v>
      </c>
      <c r="B363" t="s">
        <v>731</v>
      </c>
      <c r="C363">
        <v>59</v>
      </c>
      <c r="D363" t="s">
        <v>12</v>
      </c>
      <c r="E363" s="2">
        <v>45862</v>
      </c>
      <c r="F363" s="2">
        <v>45863</v>
      </c>
      <c r="G363" t="s">
        <v>23</v>
      </c>
      <c r="H363" t="s">
        <v>204</v>
      </c>
      <c r="I363" s="3">
        <v>2262.27</v>
      </c>
      <c r="J363" t="s">
        <v>15</v>
      </c>
      <c r="K363" s="4">
        <v>1</v>
      </c>
      <c r="L363" s="3">
        <f t="shared" si="20"/>
        <v>2262.27</v>
      </c>
      <c r="M363" s="3">
        <f t="shared" si="21"/>
        <v>0</v>
      </c>
      <c r="N363">
        <f t="shared" si="22"/>
        <v>1</v>
      </c>
      <c r="O363" s="3">
        <f t="shared" si="23"/>
        <v>2262.27</v>
      </c>
      <c r="P363" t="str" cm="1">
        <f t="array" ref="P363">_xlfn.IFS(C363&lt;18, "Under 18", C363&lt;36, "Btw 18&amp;35", C363&lt;51, "Btw 36&amp;50", C363&lt;66, "Btw 51&amp;65", C363&gt;=66," 66&amp;Above")</f>
        <v>Btw 51&amp;65</v>
      </c>
    </row>
    <row r="364" spans="1:16">
      <c r="A364" t="s">
        <v>732</v>
      </c>
      <c r="B364" t="s">
        <v>733</v>
      </c>
      <c r="C364">
        <v>77</v>
      </c>
      <c r="D364" t="s">
        <v>12</v>
      </c>
      <c r="E364" s="2">
        <v>45787</v>
      </c>
      <c r="F364" s="2">
        <v>45793</v>
      </c>
      <c r="G364" t="s">
        <v>70</v>
      </c>
      <c r="H364" t="s">
        <v>157</v>
      </c>
      <c r="I364" s="3">
        <v>15249.23</v>
      </c>
      <c r="J364" t="s">
        <v>15</v>
      </c>
      <c r="K364" s="4">
        <v>0.6</v>
      </c>
      <c r="L364" s="3">
        <f t="shared" si="20"/>
        <v>9149.5379999999986</v>
      </c>
      <c r="M364" s="3">
        <f t="shared" si="21"/>
        <v>6099.692</v>
      </c>
      <c r="N364">
        <f t="shared" si="22"/>
        <v>6</v>
      </c>
      <c r="O364" s="3">
        <f t="shared" si="23"/>
        <v>15249.23</v>
      </c>
      <c r="P364" t="str" cm="1">
        <f t="array" ref="P364">_xlfn.IFS(C364&lt;18, "Under 18", C364&lt;36, "Btw 18&amp;35", C364&lt;51, "Btw 36&amp;50", C364&lt;66, "Btw 51&amp;65", C364&gt;=66," 66&amp;Above")</f>
        <v xml:space="preserve"> 66&amp;Above</v>
      </c>
    </row>
    <row r="365" spans="1:16">
      <c r="A365" t="s">
        <v>734</v>
      </c>
      <c r="B365" t="s">
        <v>735</v>
      </c>
      <c r="C365">
        <v>21</v>
      </c>
      <c r="D365" t="s">
        <v>18</v>
      </c>
      <c r="E365" s="2">
        <v>45325</v>
      </c>
      <c r="F365" s="2">
        <v>45328</v>
      </c>
      <c r="G365" t="s">
        <v>31</v>
      </c>
      <c r="H365" t="s">
        <v>87</v>
      </c>
      <c r="I365" s="3">
        <v>3947.95</v>
      </c>
      <c r="J365" t="s">
        <v>15</v>
      </c>
      <c r="K365" s="4">
        <v>0.8</v>
      </c>
      <c r="L365" s="3">
        <f t="shared" si="20"/>
        <v>3158.36</v>
      </c>
      <c r="M365" s="3">
        <f t="shared" si="21"/>
        <v>789.5899999999998</v>
      </c>
      <c r="N365">
        <f t="shared" si="22"/>
        <v>3</v>
      </c>
      <c r="O365" s="3">
        <f t="shared" si="23"/>
        <v>3947.95</v>
      </c>
      <c r="P365" t="str" cm="1">
        <f t="array" ref="P365">_xlfn.IFS(C365&lt;18, "Under 18", C365&lt;36, "Btw 18&amp;35", C365&lt;51, "Btw 36&amp;50", C365&lt;66, "Btw 51&amp;65", C365&gt;=66," 66&amp;Above")</f>
        <v>Btw 18&amp;35</v>
      </c>
    </row>
    <row r="366" spans="1:16">
      <c r="A366" t="s">
        <v>736</v>
      </c>
      <c r="B366" t="s">
        <v>737</v>
      </c>
      <c r="C366">
        <v>59</v>
      </c>
      <c r="D366" t="s">
        <v>12</v>
      </c>
      <c r="E366" s="2">
        <v>45592</v>
      </c>
      <c r="F366" s="2">
        <v>45605</v>
      </c>
      <c r="G366" t="s">
        <v>60</v>
      </c>
      <c r="H366" t="s">
        <v>61</v>
      </c>
      <c r="I366" s="3">
        <v>35549.129999999997</v>
      </c>
      <c r="J366" t="s">
        <v>20</v>
      </c>
      <c r="K366" s="4">
        <v>1</v>
      </c>
      <c r="L366" s="3">
        <f t="shared" si="20"/>
        <v>35549.129999999997</v>
      </c>
      <c r="M366" s="3">
        <f t="shared" si="21"/>
        <v>0</v>
      </c>
      <c r="N366">
        <f t="shared" si="22"/>
        <v>13</v>
      </c>
      <c r="O366" s="3">
        <f t="shared" si="23"/>
        <v>0</v>
      </c>
      <c r="P366" t="str" cm="1">
        <f t="array" ref="P366">_xlfn.IFS(C366&lt;18, "Under 18", C366&lt;36, "Btw 18&amp;35", C366&lt;51, "Btw 36&amp;50", C366&lt;66, "Btw 51&amp;65", C366&gt;=66," 66&amp;Above")</f>
        <v>Btw 51&amp;65</v>
      </c>
    </row>
    <row r="367" spans="1:16">
      <c r="A367" t="s">
        <v>738</v>
      </c>
      <c r="B367" t="s">
        <v>739</v>
      </c>
      <c r="C367">
        <v>2</v>
      </c>
      <c r="D367" t="s">
        <v>12</v>
      </c>
      <c r="E367" s="2">
        <v>45692</v>
      </c>
      <c r="F367" s="2">
        <v>45696</v>
      </c>
      <c r="G367" t="s">
        <v>49</v>
      </c>
      <c r="H367" t="s">
        <v>120</v>
      </c>
      <c r="I367" s="3">
        <v>7038.14</v>
      </c>
      <c r="J367" t="s">
        <v>25</v>
      </c>
      <c r="K367" s="4">
        <v>0.7</v>
      </c>
      <c r="L367" s="3">
        <f t="shared" si="20"/>
        <v>4926.6980000000003</v>
      </c>
      <c r="M367" s="3">
        <f t="shared" si="21"/>
        <v>2111.4420000000005</v>
      </c>
      <c r="N367">
        <f t="shared" si="22"/>
        <v>4</v>
      </c>
      <c r="O367" s="3">
        <f t="shared" si="23"/>
        <v>0</v>
      </c>
      <c r="P367" t="str" cm="1">
        <f t="array" ref="P367">_xlfn.IFS(C367&lt;18, "Under 18", C367&lt;36, "Btw 18&amp;35", C367&lt;51, "Btw 36&amp;50", C367&lt;66, "Btw 51&amp;65", C367&gt;=66," 66&amp;Above")</f>
        <v>Under 18</v>
      </c>
    </row>
    <row r="368" spans="1:16">
      <c r="A368" t="s">
        <v>740</v>
      </c>
      <c r="B368" t="s">
        <v>741</v>
      </c>
      <c r="C368">
        <v>77</v>
      </c>
      <c r="D368" t="s">
        <v>12</v>
      </c>
      <c r="E368" s="2">
        <v>45971</v>
      </c>
      <c r="F368" s="2">
        <v>45980</v>
      </c>
      <c r="G368" t="s">
        <v>13</v>
      </c>
      <c r="H368" t="s">
        <v>165</v>
      </c>
      <c r="I368" s="3">
        <v>14877.84</v>
      </c>
      <c r="J368" t="s">
        <v>20</v>
      </c>
      <c r="K368" s="4">
        <v>1</v>
      </c>
      <c r="L368" s="3">
        <f t="shared" si="20"/>
        <v>14877.84</v>
      </c>
      <c r="M368" s="3">
        <f t="shared" si="21"/>
        <v>0</v>
      </c>
      <c r="N368">
        <f t="shared" si="22"/>
        <v>9</v>
      </c>
      <c r="O368" s="3">
        <f t="shared" si="23"/>
        <v>0</v>
      </c>
      <c r="P368" t="str" cm="1">
        <f t="array" ref="P368">_xlfn.IFS(C368&lt;18, "Under 18", C368&lt;36, "Btw 18&amp;35", C368&lt;51, "Btw 36&amp;50", C368&lt;66, "Btw 51&amp;65", C368&gt;=66," 66&amp;Above")</f>
        <v xml:space="preserve"> 66&amp;Above</v>
      </c>
    </row>
    <row r="369" spans="1:16">
      <c r="A369" t="s">
        <v>742</v>
      </c>
      <c r="B369" t="s">
        <v>146</v>
      </c>
      <c r="C369">
        <v>30</v>
      </c>
      <c r="D369" t="s">
        <v>12</v>
      </c>
      <c r="E369" s="2">
        <v>45845</v>
      </c>
      <c r="F369" s="2">
        <v>45856</v>
      </c>
      <c r="G369" t="s">
        <v>60</v>
      </c>
      <c r="H369" t="s">
        <v>61</v>
      </c>
      <c r="I369" s="3">
        <v>14678.51</v>
      </c>
      <c r="J369" t="s">
        <v>20</v>
      </c>
      <c r="K369" s="4">
        <v>0.6</v>
      </c>
      <c r="L369" s="3">
        <f t="shared" si="20"/>
        <v>8807.1059999999998</v>
      </c>
      <c r="M369" s="3">
        <f t="shared" si="21"/>
        <v>5871.4040000000005</v>
      </c>
      <c r="N369">
        <f t="shared" si="22"/>
        <v>11</v>
      </c>
      <c r="O369" s="3">
        <f t="shared" si="23"/>
        <v>0</v>
      </c>
      <c r="P369" t="str" cm="1">
        <f t="array" ref="P369">_xlfn.IFS(C369&lt;18, "Under 18", C369&lt;36, "Btw 18&amp;35", C369&lt;51, "Btw 36&amp;50", C369&lt;66, "Btw 51&amp;65", C369&gt;=66," 66&amp;Above")</f>
        <v>Btw 18&amp;35</v>
      </c>
    </row>
    <row r="370" spans="1:16">
      <c r="A370" t="s">
        <v>743</v>
      </c>
      <c r="B370" t="s">
        <v>744</v>
      </c>
      <c r="C370">
        <v>42</v>
      </c>
      <c r="D370" t="s">
        <v>12</v>
      </c>
      <c r="E370" s="2">
        <v>46002</v>
      </c>
      <c r="F370" s="2">
        <v>46004</v>
      </c>
      <c r="G370" t="s">
        <v>23</v>
      </c>
      <c r="H370" t="s">
        <v>204</v>
      </c>
      <c r="I370" s="3">
        <v>3466.32</v>
      </c>
      <c r="J370" t="s">
        <v>15</v>
      </c>
      <c r="K370" s="4">
        <v>0.7</v>
      </c>
      <c r="L370" s="3">
        <f t="shared" si="20"/>
        <v>2426.424</v>
      </c>
      <c r="M370" s="3">
        <f t="shared" si="21"/>
        <v>1039.8960000000002</v>
      </c>
      <c r="N370">
        <f t="shared" si="22"/>
        <v>2</v>
      </c>
      <c r="O370" s="3">
        <f t="shared" si="23"/>
        <v>3466.32</v>
      </c>
      <c r="P370" t="str" cm="1">
        <f t="array" ref="P370">_xlfn.IFS(C370&lt;18, "Under 18", C370&lt;36, "Btw 18&amp;35", C370&lt;51, "Btw 36&amp;50", C370&lt;66, "Btw 51&amp;65", C370&gt;=66," 66&amp;Above")</f>
        <v>Btw 36&amp;50</v>
      </c>
    </row>
    <row r="371" spans="1:16">
      <c r="A371" t="s">
        <v>745</v>
      </c>
      <c r="B371" t="s">
        <v>746</v>
      </c>
      <c r="C371">
        <v>59</v>
      </c>
      <c r="D371" t="s">
        <v>12</v>
      </c>
      <c r="E371" s="2">
        <v>45530</v>
      </c>
      <c r="F371" s="2">
        <v>45544</v>
      </c>
      <c r="G371" t="s">
        <v>60</v>
      </c>
      <c r="H371" t="s">
        <v>97</v>
      </c>
      <c r="I371" s="3">
        <v>21123.25</v>
      </c>
      <c r="J371" t="s">
        <v>15</v>
      </c>
      <c r="K371" s="4">
        <v>0.8</v>
      </c>
      <c r="L371" s="3">
        <f t="shared" si="20"/>
        <v>16898.600000000002</v>
      </c>
      <c r="M371" s="3">
        <f t="shared" si="21"/>
        <v>4224.6499999999987</v>
      </c>
      <c r="N371">
        <f t="shared" si="22"/>
        <v>14</v>
      </c>
      <c r="O371" s="3">
        <f t="shared" si="23"/>
        <v>21123.25</v>
      </c>
      <c r="P371" t="str" cm="1">
        <f t="array" ref="P371">_xlfn.IFS(C371&lt;18, "Under 18", C371&lt;36, "Btw 18&amp;35", C371&lt;51, "Btw 36&amp;50", C371&lt;66, "Btw 51&amp;65", C371&gt;=66," 66&amp;Above")</f>
        <v>Btw 51&amp;65</v>
      </c>
    </row>
    <row r="372" spans="1:16">
      <c r="A372" t="s">
        <v>747</v>
      </c>
      <c r="B372" t="s">
        <v>748</v>
      </c>
      <c r="C372">
        <v>7</v>
      </c>
      <c r="D372" t="s">
        <v>12</v>
      </c>
      <c r="E372" s="2">
        <v>45729</v>
      </c>
      <c r="F372" s="2">
        <v>45734</v>
      </c>
      <c r="G372" t="s">
        <v>49</v>
      </c>
      <c r="H372" t="s">
        <v>117</v>
      </c>
      <c r="I372" s="3">
        <v>5585.79</v>
      </c>
      <c r="J372" t="s">
        <v>25</v>
      </c>
      <c r="K372" s="4">
        <v>0</v>
      </c>
      <c r="L372" s="3">
        <f t="shared" si="20"/>
        <v>0</v>
      </c>
      <c r="M372" s="3">
        <f t="shared" si="21"/>
        <v>5585.79</v>
      </c>
      <c r="N372">
        <f t="shared" si="22"/>
        <v>5</v>
      </c>
      <c r="O372" s="3">
        <f t="shared" si="23"/>
        <v>0</v>
      </c>
      <c r="P372" t="str" cm="1">
        <f t="array" ref="P372">_xlfn.IFS(C372&lt;18, "Under 18", C372&lt;36, "Btw 18&amp;35", C372&lt;51, "Btw 36&amp;50", C372&lt;66, "Btw 51&amp;65", C372&gt;=66," 66&amp;Above")</f>
        <v>Under 18</v>
      </c>
    </row>
    <row r="373" spans="1:16">
      <c r="A373" t="s">
        <v>749</v>
      </c>
      <c r="B373" t="s">
        <v>750</v>
      </c>
      <c r="C373">
        <v>37</v>
      </c>
      <c r="D373" t="s">
        <v>18</v>
      </c>
      <c r="E373" s="2">
        <v>45548</v>
      </c>
      <c r="F373" s="2">
        <v>45553</v>
      </c>
      <c r="G373" t="s">
        <v>31</v>
      </c>
      <c r="H373" t="s">
        <v>87</v>
      </c>
      <c r="I373" s="3">
        <v>6953.83</v>
      </c>
      <c r="J373" t="s">
        <v>20</v>
      </c>
      <c r="K373" s="4">
        <v>0.9</v>
      </c>
      <c r="L373" s="3">
        <f t="shared" si="20"/>
        <v>6258.4470000000001</v>
      </c>
      <c r="M373" s="3">
        <f t="shared" si="21"/>
        <v>695.38299999999981</v>
      </c>
      <c r="N373">
        <f t="shared" si="22"/>
        <v>5</v>
      </c>
      <c r="O373" s="3">
        <f t="shared" si="23"/>
        <v>0</v>
      </c>
      <c r="P373" t="str" cm="1">
        <f t="array" ref="P373">_xlfn.IFS(C373&lt;18, "Under 18", C373&lt;36, "Btw 18&amp;35", C373&lt;51, "Btw 36&amp;50", C373&lt;66, "Btw 51&amp;65", C373&gt;=66," 66&amp;Above")</f>
        <v>Btw 36&amp;50</v>
      </c>
    </row>
    <row r="374" spans="1:16">
      <c r="A374" t="s">
        <v>751</v>
      </c>
      <c r="B374" t="s">
        <v>752</v>
      </c>
      <c r="C374">
        <v>33</v>
      </c>
      <c r="D374" t="s">
        <v>18</v>
      </c>
      <c r="E374" s="2">
        <v>45659</v>
      </c>
      <c r="F374" s="2">
        <v>45660</v>
      </c>
      <c r="G374" t="s">
        <v>23</v>
      </c>
      <c r="H374" t="s">
        <v>41</v>
      </c>
      <c r="I374" s="3">
        <v>2224.13</v>
      </c>
      <c r="J374" t="s">
        <v>15</v>
      </c>
      <c r="K374" s="4">
        <v>0.7</v>
      </c>
      <c r="L374" s="3">
        <f t="shared" si="20"/>
        <v>1556.8910000000001</v>
      </c>
      <c r="M374" s="3">
        <f t="shared" si="21"/>
        <v>667.23900000000015</v>
      </c>
      <c r="N374">
        <f t="shared" si="22"/>
        <v>1</v>
      </c>
      <c r="O374" s="3">
        <f t="shared" si="23"/>
        <v>2224.13</v>
      </c>
      <c r="P374" t="str" cm="1">
        <f t="array" ref="P374">_xlfn.IFS(C374&lt;18, "Under 18", C374&lt;36, "Btw 18&amp;35", C374&lt;51, "Btw 36&amp;50", C374&lt;66, "Btw 51&amp;65", C374&gt;=66," 66&amp;Above")</f>
        <v>Btw 18&amp;35</v>
      </c>
    </row>
    <row r="375" spans="1:16">
      <c r="A375" t="s">
        <v>753</v>
      </c>
      <c r="B375" t="s">
        <v>635</v>
      </c>
      <c r="C375">
        <v>76</v>
      </c>
      <c r="D375" t="s">
        <v>12</v>
      </c>
      <c r="E375" s="2">
        <v>45768</v>
      </c>
      <c r="F375" s="2">
        <v>45774</v>
      </c>
      <c r="G375" t="s">
        <v>13</v>
      </c>
      <c r="H375" t="s">
        <v>38</v>
      </c>
      <c r="I375" s="3">
        <v>11111.41</v>
      </c>
      <c r="J375" t="s">
        <v>15</v>
      </c>
      <c r="K375" s="4">
        <v>0.7</v>
      </c>
      <c r="L375" s="3">
        <f t="shared" si="20"/>
        <v>7777.9869999999992</v>
      </c>
      <c r="M375" s="3">
        <f t="shared" si="21"/>
        <v>3333.4230000000002</v>
      </c>
      <c r="N375">
        <f t="shared" si="22"/>
        <v>6</v>
      </c>
      <c r="O375" s="3">
        <f t="shared" si="23"/>
        <v>11111.41</v>
      </c>
      <c r="P375" t="str" cm="1">
        <f t="array" ref="P375">_xlfn.IFS(C375&lt;18, "Under 18", C375&lt;36, "Btw 18&amp;35", C375&lt;51, "Btw 36&amp;50", C375&lt;66, "Btw 51&amp;65", C375&gt;=66," 66&amp;Above")</f>
        <v xml:space="preserve"> 66&amp;Above</v>
      </c>
    </row>
    <row r="376" spans="1:16">
      <c r="A376" t="s">
        <v>754</v>
      </c>
      <c r="B376" t="s">
        <v>741</v>
      </c>
      <c r="C376">
        <v>31</v>
      </c>
      <c r="D376" t="s">
        <v>12</v>
      </c>
      <c r="E376" s="2">
        <v>45547</v>
      </c>
      <c r="F376" s="2">
        <v>45554</v>
      </c>
      <c r="G376" t="s">
        <v>31</v>
      </c>
      <c r="H376" t="s">
        <v>44</v>
      </c>
      <c r="I376" s="3">
        <v>8312.57</v>
      </c>
      <c r="J376" t="s">
        <v>15</v>
      </c>
      <c r="K376" s="4">
        <v>0.7</v>
      </c>
      <c r="L376" s="3">
        <f t="shared" si="20"/>
        <v>5818.7989999999991</v>
      </c>
      <c r="M376" s="3">
        <f t="shared" si="21"/>
        <v>2493.7710000000002</v>
      </c>
      <c r="N376">
        <f t="shared" si="22"/>
        <v>7</v>
      </c>
      <c r="O376" s="3">
        <f t="shared" si="23"/>
        <v>8312.57</v>
      </c>
      <c r="P376" t="str" cm="1">
        <f t="array" ref="P376">_xlfn.IFS(C376&lt;18, "Under 18", C376&lt;36, "Btw 18&amp;35", C376&lt;51, "Btw 36&amp;50", C376&lt;66, "Btw 51&amp;65", C376&gt;=66," 66&amp;Above")</f>
        <v>Btw 18&amp;35</v>
      </c>
    </row>
    <row r="377" spans="1:16">
      <c r="A377" t="s">
        <v>755</v>
      </c>
      <c r="B377" t="s">
        <v>516</v>
      </c>
      <c r="C377">
        <v>36</v>
      </c>
      <c r="D377" t="s">
        <v>12</v>
      </c>
      <c r="E377" s="2">
        <v>45595</v>
      </c>
      <c r="F377" s="2">
        <v>45600</v>
      </c>
      <c r="G377" t="s">
        <v>31</v>
      </c>
      <c r="H377" t="s">
        <v>234</v>
      </c>
      <c r="I377" s="3">
        <v>4633.5</v>
      </c>
      <c r="J377" t="s">
        <v>15</v>
      </c>
      <c r="K377" s="4">
        <v>0.9</v>
      </c>
      <c r="L377" s="3">
        <f t="shared" si="20"/>
        <v>4170.1500000000005</v>
      </c>
      <c r="M377" s="3">
        <f t="shared" si="21"/>
        <v>463.34999999999991</v>
      </c>
      <c r="N377">
        <f t="shared" si="22"/>
        <v>5</v>
      </c>
      <c r="O377" s="3">
        <f t="shared" si="23"/>
        <v>4633.5</v>
      </c>
      <c r="P377" t="str" cm="1">
        <f t="array" ref="P377">_xlfn.IFS(C377&lt;18, "Under 18", C377&lt;36, "Btw 18&amp;35", C377&lt;51, "Btw 36&amp;50", C377&lt;66, "Btw 51&amp;65", C377&gt;=66," 66&amp;Above")</f>
        <v>Btw 36&amp;50</v>
      </c>
    </row>
    <row r="378" spans="1:16">
      <c r="A378" t="s">
        <v>756</v>
      </c>
      <c r="B378" t="s">
        <v>757</v>
      </c>
      <c r="C378">
        <v>29</v>
      </c>
      <c r="D378" t="s">
        <v>18</v>
      </c>
      <c r="E378" s="2">
        <v>45590</v>
      </c>
      <c r="F378" s="2">
        <v>45593</v>
      </c>
      <c r="G378" t="s">
        <v>60</v>
      </c>
      <c r="H378" t="s">
        <v>77</v>
      </c>
      <c r="I378" s="3">
        <v>6028.31</v>
      </c>
      <c r="J378" t="s">
        <v>25</v>
      </c>
      <c r="K378" s="4">
        <v>0.8</v>
      </c>
      <c r="L378" s="3">
        <f t="shared" si="20"/>
        <v>4822.6480000000001</v>
      </c>
      <c r="M378" s="3">
        <f t="shared" si="21"/>
        <v>1205.6619999999998</v>
      </c>
      <c r="N378">
        <f t="shared" si="22"/>
        <v>3</v>
      </c>
      <c r="O378" s="3">
        <f t="shared" si="23"/>
        <v>0</v>
      </c>
      <c r="P378" t="str" cm="1">
        <f t="array" ref="P378">_xlfn.IFS(C378&lt;18, "Under 18", C378&lt;36, "Btw 18&amp;35", C378&lt;51, "Btw 36&amp;50", C378&lt;66, "Btw 51&amp;65", C378&gt;=66," 66&amp;Above")</f>
        <v>Btw 18&amp;35</v>
      </c>
    </row>
    <row r="379" spans="1:16">
      <c r="A379" t="s">
        <v>758</v>
      </c>
      <c r="B379" t="s">
        <v>759</v>
      </c>
      <c r="C379">
        <v>64</v>
      </c>
      <c r="D379" t="s">
        <v>12</v>
      </c>
      <c r="E379" s="2">
        <v>45385</v>
      </c>
      <c r="F379" s="2">
        <v>45390</v>
      </c>
      <c r="G379" t="s">
        <v>70</v>
      </c>
      <c r="H379" t="s">
        <v>94</v>
      </c>
      <c r="I379" s="3">
        <v>6224.81</v>
      </c>
      <c r="J379" t="s">
        <v>25</v>
      </c>
      <c r="K379" s="4">
        <v>0.7</v>
      </c>
      <c r="L379" s="3">
        <f t="shared" si="20"/>
        <v>4357.3670000000002</v>
      </c>
      <c r="M379" s="3">
        <f t="shared" si="21"/>
        <v>1867.4430000000004</v>
      </c>
      <c r="N379">
        <f t="shared" si="22"/>
        <v>5</v>
      </c>
      <c r="O379" s="3">
        <f t="shared" si="23"/>
        <v>0</v>
      </c>
      <c r="P379" t="str" cm="1">
        <f t="array" ref="P379">_xlfn.IFS(C379&lt;18, "Under 18", C379&lt;36, "Btw 18&amp;35", C379&lt;51, "Btw 36&amp;50", C379&lt;66, "Btw 51&amp;65", C379&gt;=66," 66&amp;Above")</f>
        <v>Btw 51&amp;65</v>
      </c>
    </row>
    <row r="380" spans="1:16">
      <c r="A380" t="s">
        <v>760</v>
      </c>
      <c r="B380" t="s">
        <v>492</v>
      </c>
      <c r="C380">
        <v>44</v>
      </c>
      <c r="D380" t="s">
        <v>12</v>
      </c>
      <c r="E380" s="2">
        <v>45500</v>
      </c>
      <c r="F380" s="2">
        <v>45511</v>
      </c>
      <c r="G380" t="s">
        <v>60</v>
      </c>
      <c r="H380" t="s">
        <v>61</v>
      </c>
      <c r="I380" s="3">
        <v>18959.16</v>
      </c>
      <c r="J380" t="s">
        <v>15</v>
      </c>
      <c r="K380" s="4">
        <v>0.6</v>
      </c>
      <c r="L380" s="3">
        <f t="shared" si="20"/>
        <v>11375.495999999999</v>
      </c>
      <c r="M380" s="3">
        <f t="shared" si="21"/>
        <v>7583.6640000000007</v>
      </c>
      <c r="N380">
        <f t="shared" si="22"/>
        <v>11</v>
      </c>
      <c r="O380" s="3">
        <f t="shared" si="23"/>
        <v>18959.16</v>
      </c>
      <c r="P380" t="str" cm="1">
        <f t="array" ref="P380">_xlfn.IFS(C380&lt;18, "Under 18", C380&lt;36, "Btw 18&amp;35", C380&lt;51, "Btw 36&amp;50", C380&lt;66, "Btw 51&amp;65", C380&gt;=66," 66&amp;Above")</f>
        <v>Btw 36&amp;50</v>
      </c>
    </row>
    <row r="381" spans="1:16">
      <c r="A381" t="s">
        <v>761</v>
      </c>
      <c r="B381" t="s">
        <v>762</v>
      </c>
      <c r="C381">
        <v>77</v>
      </c>
      <c r="D381" t="s">
        <v>18</v>
      </c>
      <c r="E381" s="2">
        <v>45378</v>
      </c>
      <c r="F381" s="2">
        <v>45380</v>
      </c>
      <c r="G381" t="s">
        <v>31</v>
      </c>
      <c r="H381" t="s">
        <v>32</v>
      </c>
      <c r="I381" s="3">
        <v>2123.39</v>
      </c>
      <c r="J381" t="s">
        <v>15</v>
      </c>
      <c r="K381" s="4">
        <v>0.8</v>
      </c>
      <c r="L381" s="3">
        <f t="shared" si="20"/>
        <v>1698.712</v>
      </c>
      <c r="M381" s="3">
        <f t="shared" si="21"/>
        <v>424.67799999999988</v>
      </c>
      <c r="N381">
        <f t="shared" si="22"/>
        <v>2</v>
      </c>
      <c r="O381" s="3">
        <f t="shared" si="23"/>
        <v>2123.39</v>
      </c>
      <c r="P381" t="str" cm="1">
        <f t="array" ref="P381">_xlfn.IFS(C381&lt;18, "Under 18", C381&lt;36, "Btw 18&amp;35", C381&lt;51, "Btw 36&amp;50", C381&lt;66, "Btw 51&amp;65", C381&gt;=66," 66&amp;Above")</f>
        <v xml:space="preserve"> 66&amp;Above</v>
      </c>
    </row>
    <row r="382" spans="1:16">
      <c r="A382" t="s">
        <v>763</v>
      </c>
      <c r="B382" t="s">
        <v>764</v>
      </c>
      <c r="C382">
        <v>51</v>
      </c>
      <c r="D382" t="s">
        <v>18</v>
      </c>
      <c r="E382" s="2">
        <v>45535</v>
      </c>
      <c r="F382" s="2">
        <v>45537</v>
      </c>
      <c r="G382" t="s">
        <v>60</v>
      </c>
      <c r="H382" t="s">
        <v>77</v>
      </c>
      <c r="I382" s="3">
        <v>4043.37</v>
      </c>
      <c r="J382" t="s">
        <v>15</v>
      </c>
      <c r="K382" s="4">
        <v>1</v>
      </c>
      <c r="L382" s="3">
        <f t="shared" si="20"/>
        <v>4043.37</v>
      </c>
      <c r="M382" s="3">
        <f t="shared" si="21"/>
        <v>0</v>
      </c>
      <c r="N382">
        <f t="shared" si="22"/>
        <v>2</v>
      </c>
      <c r="O382" s="3">
        <f t="shared" si="23"/>
        <v>4043.37</v>
      </c>
      <c r="P382" t="str" cm="1">
        <f t="array" ref="P382">_xlfn.IFS(C382&lt;18, "Under 18", C382&lt;36, "Btw 18&amp;35", C382&lt;51, "Btw 36&amp;50", C382&lt;66, "Btw 51&amp;65", C382&gt;=66," 66&amp;Above")</f>
        <v>Btw 51&amp;65</v>
      </c>
    </row>
    <row r="383" spans="1:16">
      <c r="A383" t="s">
        <v>765</v>
      </c>
      <c r="B383" t="s">
        <v>766</v>
      </c>
      <c r="C383">
        <v>4</v>
      </c>
      <c r="D383" t="s">
        <v>12</v>
      </c>
      <c r="E383" s="2">
        <v>45670</v>
      </c>
      <c r="F383" s="2">
        <v>45671</v>
      </c>
      <c r="G383" t="s">
        <v>49</v>
      </c>
      <c r="H383" t="s">
        <v>123</v>
      </c>
      <c r="I383" s="3">
        <v>843.6</v>
      </c>
      <c r="J383" t="s">
        <v>25</v>
      </c>
      <c r="K383" s="4">
        <v>0.7</v>
      </c>
      <c r="L383" s="3">
        <f t="shared" si="20"/>
        <v>590.52</v>
      </c>
      <c r="M383" s="3">
        <f t="shared" si="21"/>
        <v>253.08000000000004</v>
      </c>
      <c r="N383">
        <f t="shared" si="22"/>
        <v>1</v>
      </c>
      <c r="O383" s="3">
        <f t="shared" si="23"/>
        <v>0</v>
      </c>
      <c r="P383" t="str" cm="1">
        <f t="array" ref="P383">_xlfn.IFS(C383&lt;18, "Under 18", C383&lt;36, "Btw 18&amp;35", C383&lt;51, "Btw 36&amp;50", C383&lt;66, "Btw 51&amp;65", C383&gt;=66," 66&amp;Above")</f>
        <v>Under 18</v>
      </c>
    </row>
    <row r="384" spans="1:16">
      <c r="A384" t="s">
        <v>767</v>
      </c>
      <c r="B384" t="s">
        <v>538</v>
      </c>
      <c r="C384">
        <v>37</v>
      </c>
      <c r="D384" t="s">
        <v>18</v>
      </c>
      <c r="E384" s="2">
        <v>46012</v>
      </c>
      <c r="F384" s="2">
        <v>46016</v>
      </c>
      <c r="G384" t="s">
        <v>31</v>
      </c>
      <c r="H384" t="s">
        <v>114</v>
      </c>
      <c r="I384" s="3">
        <v>2561.88</v>
      </c>
      <c r="J384" t="s">
        <v>15</v>
      </c>
      <c r="K384" s="4">
        <v>0.7</v>
      </c>
      <c r="L384" s="3">
        <f t="shared" si="20"/>
        <v>1793.316</v>
      </c>
      <c r="M384" s="3">
        <f t="shared" si="21"/>
        <v>768.56400000000019</v>
      </c>
      <c r="N384">
        <f t="shared" si="22"/>
        <v>4</v>
      </c>
      <c r="O384" s="3">
        <f t="shared" si="23"/>
        <v>2561.88</v>
      </c>
      <c r="P384" t="str" cm="1">
        <f t="array" ref="P384">_xlfn.IFS(C384&lt;18, "Under 18", C384&lt;36, "Btw 18&amp;35", C384&lt;51, "Btw 36&amp;50", C384&lt;66, "Btw 51&amp;65", C384&gt;=66," 66&amp;Above")</f>
        <v>Btw 36&amp;50</v>
      </c>
    </row>
    <row r="385" spans="1:16">
      <c r="A385" t="s">
        <v>768</v>
      </c>
      <c r="B385" t="s">
        <v>769</v>
      </c>
      <c r="C385">
        <v>21</v>
      </c>
      <c r="D385" t="s">
        <v>18</v>
      </c>
      <c r="E385" s="2">
        <v>45293</v>
      </c>
      <c r="F385" s="2">
        <v>45294</v>
      </c>
      <c r="G385" t="s">
        <v>23</v>
      </c>
      <c r="H385" t="s">
        <v>28</v>
      </c>
      <c r="I385" s="3">
        <v>1511.32</v>
      </c>
      <c r="J385" t="s">
        <v>20</v>
      </c>
      <c r="K385" s="4">
        <v>0.8</v>
      </c>
      <c r="L385" s="3">
        <f t="shared" si="20"/>
        <v>1209.056</v>
      </c>
      <c r="M385" s="3">
        <f t="shared" si="21"/>
        <v>302.2639999999999</v>
      </c>
      <c r="N385">
        <f t="shared" si="22"/>
        <v>1</v>
      </c>
      <c r="O385" s="3">
        <f t="shared" si="23"/>
        <v>0</v>
      </c>
      <c r="P385" t="str" cm="1">
        <f t="array" ref="P385">_xlfn.IFS(C385&lt;18, "Under 18", C385&lt;36, "Btw 18&amp;35", C385&lt;51, "Btw 36&amp;50", C385&lt;66, "Btw 51&amp;65", C385&gt;=66," 66&amp;Above")</f>
        <v>Btw 18&amp;35</v>
      </c>
    </row>
    <row r="386" spans="1:16">
      <c r="A386" t="s">
        <v>770</v>
      </c>
      <c r="B386" t="s">
        <v>179</v>
      </c>
      <c r="C386">
        <v>55</v>
      </c>
      <c r="D386" t="s">
        <v>12</v>
      </c>
      <c r="E386" s="2">
        <v>45930</v>
      </c>
      <c r="F386" s="2">
        <v>45944</v>
      </c>
      <c r="G386" t="s">
        <v>60</v>
      </c>
      <c r="H386" t="s">
        <v>61</v>
      </c>
      <c r="I386" s="3">
        <v>27685.69</v>
      </c>
      <c r="J386" t="s">
        <v>15</v>
      </c>
      <c r="K386" s="4">
        <v>0.7</v>
      </c>
      <c r="L386" s="3">
        <f t="shared" si="20"/>
        <v>19379.982999999997</v>
      </c>
      <c r="M386" s="3">
        <f t="shared" si="21"/>
        <v>8305.7070000000003</v>
      </c>
      <c r="N386">
        <f t="shared" si="22"/>
        <v>14</v>
      </c>
      <c r="O386" s="3">
        <f t="shared" si="23"/>
        <v>27685.69</v>
      </c>
      <c r="P386" t="str" cm="1">
        <f t="array" ref="P386">_xlfn.IFS(C386&lt;18, "Under 18", C386&lt;36, "Btw 18&amp;35", C386&lt;51, "Btw 36&amp;50", C386&lt;66, "Btw 51&amp;65", C386&gt;=66," 66&amp;Above")</f>
        <v>Btw 51&amp;65</v>
      </c>
    </row>
    <row r="387" spans="1:16">
      <c r="A387" t="s">
        <v>771</v>
      </c>
      <c r="B387" t="s">
        <v>772</v>
      </c>
      <c r="C387">
        <v>24</v>
      </c>
      <c r="D387" t="s">
        <v>12</v>
      </c>
      <c r="E387" s="2">
        <v>45591</v>
      </c>
      <c r="F387" s="2">
        <v>45595</v>
      </c>
      <c r="G387" t="s">
        <v>31</v>
      </c>
      <c r="H387" t="s">
        <v>87</v>
      </c>
      <c r="I387" s="3">
        <v>3028.33</v>
      </c>
      <c r="J387" t="s">
        <v>20</v>
      </c>
      <c r="K387" s="4">
        <v>0.7</v>
      </c>
      <c r="L387" s="3">
        <f t="shared" ref="L387:L450" si="24">I387*K387</f>
        <v>2119.8309999999997</v>
      </c>
      <c r="M387" s="3">
        <f t="shared" ref="M387:M450" si="25">(100%-K387)*I387</f>
        <v>908.49900000000014</v>
      </c>
      <c r="N387">
        <f t="shared" ref="N387:N450" si="26">_xlfn.DAYS(F387,E387)</f>
        <v>4</v>
      </c>
      <c r="O387" s="3">
        <f t="shared" ref="O387:O450" si="27">IF(J387="Paid", I387, 0)</f>
        <v>0</v>
      </c>
      <c r="P387" t="str" cm="1">
        <f t="array" ref="P387">_xlfn.IFS(C387&lt;18, "Under 18", C387&lt;36, "Btw 18&amp;35", C387&lt;51, "Btw 36&amp;50", C387&lt;66, "Btw 51&amp;65", C387&gt;=66," 66&amp;Above")</f>
        <v>Btw 18&amp;35</v>
      </c>
    </row>
    <row r="388" spans="1:16">
      <c r="A388" t="s">
        <v>773</v>
      </c>
      <c r="B388" t="s">
        <v>774</v>
      </c>
      <c r="C388">
        <v>70</v>
      </c>
      <c r="D388" t="s">
        <v>12</v>
      </c>
      <c r="E388" s="2">
        <v>45751</v>
      </c>
      <c r="F388" s="2">
        <v>45765</v>
      </c>
      <c r="G388" t="s">
        <v>60</v>
      </c>
      <c r="H388" t="s">
        <v>74</v>
      </c>
      <c r="I388" s="3">
        <v>37544.019999999997</v>
      </c>
      <c r="J388" t="s">
        <v>15</v>
      </c>
      <c r="K388" s="4">
        <v>0.8</v>
      </c>
      <c r="L388" s="3">
        <f t="shared" si="24"/>
        <v>30035.216</v>
      </c>
      <c r="M388" s="3">
        <f t="shared" si="25"/>
        <v>7508.8039999999974</v>
      </c>
      <c r="N388">
        <f t="shared" si="26"/>
        <v>14</v>
      </c>
      <c r="O388" s="3">
        <f t="shared" si="27"/>
        <v>37544.019999999997</v>
      </c>
      <c r="P388" t="str" cm="1">
        <f t="array" ref="P388">_xlfn.IFS(C388&lt;18, "Under 18", C388&lt;36, "Btw 18&amp;35", C388&lt;51, "Btw 36&amp;50", C388&lt;66, "Btw 51&amp;65", C388&gt;=66," 66&amp;Above")</f>
        <v xml:space="preserve"> 66&amp;Above</v>
      </c>
    </row>
    <row r="389" spans="1:16">
      <c r="A389" t="s">
        <v>775</v>
      </c>
      <c r="B389" t="s">
        <v>776</v>
      </c>
      <c r="C389">
        <v>32</v>
      </c>
      <c r="D389" t="s">
        <v>12</v>
      </c>
      <c r="E389" s="2">
        <v>45444</v>
      </c>
      <c r="F389" s="2">
        <v>45451</v>
      </c>
      <c r="G389" t="s">
        <v>70</v>
      </c>
      <c r="H389" t="s">
        <v>157</v>
      </c>
      <c r="I389" s="3">
        <v>17899.3</v>
      </c>
      <c r="J389" t="s">
        <v>25</v>
      </c>
      <c r="K389" s="4">
        <v>0.7</v>
      </c>
      <c r="L389" s="3">
        <f t="shared" si="24"/>
        <v>12529.509999999998</v>
      </c>
      <c r="M389" s="3">
        <f t="shared" si="25"/>
        <v>5369.7900000000009</v>
      </c>
      <c r="N389">
        <f t="shared" si="26"/>
        <v>7</v>
      </c>
      <c r="O389" s="3">
        <f t="shared" si="27"/>
        <v>0</v>
      </c>
      <c r="P389" t="str" cm="1">
        <f t="array" ref="P389">_xlfn.IFS(C389&lt;18, "Under 18", C389&lt;36, "Btw 18&amp;35", C389&lt;51, "Btw 36&amp;50", C389&lt;66, "Btw 51&amp;65", C389&gt;=66," 66&amp;Above")</f>
        <v>Btw 18&amp;35</v>
      </c>
    </row>
    <row r="390" spans="1:16">
      <c r="A390" t="s">
        <v>777</v>
      </c>
      <c r="B390" t="s">
        <v>778</v>
      </c>
      <c r="C390">
        <v>11</v>
      </c>
      <c r="D390" t="s">
        <v>12</v>
      </c>
      <c r="E390" s="2">
        <v>46010</v>
      </c>
      <c r="F390" s="2">
        <v>46013</v>
      </c>
      <c r="G390" t="s">
        <v>49</v>
      </c>
      <c r="H390" t="s">
        <v>50</v>
      </c>
      <c r="I390" s="3">
        <v>5297.21</v>
      </c>
      <c r="J390" t="s">
        <v>15</v>
      </c>
      <c r="K390" s="4">
        <v>0.8</v>
      </c>
      <c r="L390" s="3">
        <f t="shared" si="24"/>
        <v>4237.768</v>
      </c>
      <c r="M390" s="3">
        <f t="shared" si="25"/>
        <v>1059.4419999999998</v>
      </c>
      <c r="N390">
        <f t="shared" si="26"/>
        <v>3</v>
      </c>
      <c r="O390" s="3">
        <f t="shared" si="27"/>
        <v>5297.21</v>
      </c>
      <c r="P390" t="str" cm="1">
        <f t="array" ref="P390">_xlfn.IFS(C390&lt;18, "Under 18", C390&lt;36, "Btw 18&amp;35", C390&lt;51, "Btw 36&amp;50", C390&lt;66, "Btw 51&amp;65", C390&gt;=66," 66&amp;Above")</f>
        <v>Under 18</v>
      </c>
    </row>
    <row r="391" spans="1:16">
      <c r="A391" t="s">
        <v>779</v>
      </c>
      <c r="B391" t="s">
        <v>780</v>
      </c>
      <c r="C391">
        <v>46</v>
      </c>
      <c r="D391" t="s">
        <v>12</v>
      </c>
      <c r="E391" s="2">
        <v>45305</v>
      </c>
      <c r="F391" s="2">
        <v>45313</v>
      </c>
      <c r="G391" t="s">
        <v>13</v>
      </c>
      <c r="H391" t="s">
        <v>102</v>
      </c>
      <c r="I391" s="3">
        <v>10640.24</v>
      </c>
      <c r="J391" t="s">
        <v>25</v>
      </c>
      <c r="K391" s="4">
        <v>0</v>
      </c>
      <c r="L391" s="3">
        <f t="shared" si="24"/>
        <v>0</v>
      </c>
      <c r="M391" s="3">
        <f t="shared" si="25"/>
        <v>10640.24</v>
      </c>
      <c r="N391">
        <f t="shared" si="26"/>
        <v>8</v>
      </c>
      <c r="O391" s="3">
        <f t="shared" si="27"/>
        <v>0</v>
      </c>
      <c r="P391" t="str" cm="1">
        <f t="array" ref="P391">_xlfn.IFS(C391&lt;18, "Under 18", C391&lt;36, "Btw 18&amp;35", C391&lt;51, "Btw 36&amp;50", C391&lt;66, "Btw 51&amp;65", C391&gt;=66," 66&amp;Above")</f>
        <v>Btw 36&amp;50</v>
      </c>
    </row>
    <row r="392" spans="1:16">
      <c r="A392" t="s">
        <v>781</v>
      </c>
      <c r="B392" t="s">
        <v>386</v>
      </c>
      <c r="C392">
        <v>40</v>
      </c>
      <c r="D392" t="s">
        <v>18</v>
      </c>
      <c r="E392" s="2">
        <v>45636</v>
      </c>
      <c r="F392" s="2">
        <v>45639</v>
      </c>
      <c r="G392" t="s">
        <v>70</v>
      </c>
      <c r="H392" t="s">
        <v>71</v>
      </c>
      <c r="I392" s="3">
        <v>3660.71</v>
      </c>
      <c r="J392" t="s">
        <v>25</v>
      </c>
      <c r="K392" s="4">
        <v>0.7</v>
      </c>
      <c r="L392" s="3">
        <f t="shared" si="24"/>
        <v>2562.4969999999998</v>
      </c>
      <c r="M392" s="3">
        <f t="shared" si="25"/>
        <v>1098.2130000000002</v>
      </c>
      <c r="N392">
        <f t="shared" si="26"/>
        <v>3</v>
      </c>
      <c r="O392" s="3">
        <f t="shared" si="27"/>
        <v>0</v>
      </c>
      <c r="P392" t="str" cm="1">
        <f t="array" ref="P392">_xlfn.IFS(C392&lt;18, "Under 18", C392&lt;36, "Btw 18&amp;35", C392&lt;51, "Btw 36&amp;50", C392&lt;66, "Btw 51&amp;65", C392&gt;=66," 66&amp;Above")</f>
        <v>Btw 36&amp;50</v>
      </c>
    </row>
    <row r="393" spans="1:16">
      <c r="A393" t="s">
        <v>782</v>
      </c>
      <c r="B393" t="s">
        <v>783</v>
      </c>
      <c r="C393">
        <v>42</v>
      </c>
      <c r="D393" t="s">
        <v>18</v>
      </c>
      <c r="E393" s="2">
        <v>45941</v>
      </c>
      <c r="F393" s="2">
        <v>45947</v>
      </c>
      <c r="G393" t="s">
        <v>70</v>
      </c>
      <c r="H393" t="s">
        <v>94</v>
      </c>
      <c r="I393" s="3">
        <v>10028.68</v>
      </c>
      <c r="J393" t="s">
        <v>20</v>
      </c>
      <c r="K393" s="4">
        <v>0.8</v>
      </c>
      <c r="L393" s="3">
        <f t="shared" si="24"/>
        <v>8022.9440000000004</v>
      </c>
      <c r="M393" s="3">
        <f t="shared" si="25"/>
        <v>2005.7359999999996</v>
      </c>
      <c r="N393">
        <f t="shared" si="26"/>
        <v>6</v>
      </c>
      <c r="O393" s="3">
        <f t="shared" si="27"/>
        <v>0</v>
      </c>
      <c r="P393" t="str" cm="1">
        <f t="array" ref="P393">_xlfn.IFS(C393&lt;18, "Under 18", C393&lt;36, "Btw 18&amp;35", C393&lt;51, "Btw 36&amp;50", C393&lt;66, "Btw 51&amp;65", C393&gt;=66," 66&amp;Above")</f>
        <v>Btw 36&amp;50</v>
      </c>
    </row>
    <row r="394" spans="1:16">
      <c r="A394" t="s">
        <v>784</v>
      </c>
      <c r="B394" t="s">
        <v>785</v>
      </c>
      <c r="C394">
        <v>9</v>
      </c>
      <c r="D394" t="s">
        <v>18</v>
      </c>
      <c r="E394" s="2">
        <v>45296</v>
      </c>
      <c r="F394" s="2">
        <v>45301</v>
      </c>
      <c r="G394" t="s">
        <v>49</v>
      </c>
      <c r="H394" t="s">
        <v>130</v>
      </c>
      <c r="I394" s="3">
        <v>7238.61</v>
      </c>
      <c r="J394" t="s">
        <v>20</v>
      </c>
      <c r="K394" s="4">
        <v>0.5</v>
      </c>
      <c r="L394" s="3">
        <f t="shared" si="24"/>
        <v>3619.3049999999998</v>
      </c>
      <c r="M394" s="3">
        <f t="shared" si="25"/>
        <v>3619.3049999999998</v>
      </c>
      <c r="N394">
        <f t="shared" si="26"/>
        <v>5</v>
      </c>
      <c r="O394" s="3">
        <f t="shared" si="27"/>
        <v>0</v>
      </c>
      <c r="P394" t="str" cm="1">
        <f t="array" ref="P394">_xlfn.IFS(C394&lt;18, "Under 18", C394&lt;36, "Btw 18&amp;35", C394&lt;51, "Btw 36&amp;50", C394&lt;66, "Btw 51&amp;65", C394&gt;=66," 66&amp;Above")</f>
        <v>Under 18</v>
      </c>
    </row>
    <row r="395" spans="1:16">
      <c r="A395" t="s">
        <v>786</v>
      </c>
      <c r="B395" t="s">
        <v>787</v>
      </c>
      <c r="C395">
        <v>29</v>
      </c>
      <c r="D395" t="s">
        <v>18</v>
      </c>
      <c r="E395" s="2">
        <v>45292</v>
      </c>
      <c r="F395" s="2">
        <v>45293</v>
      </c>
      <c r="G395" t="s">
        <v>31</v>
      </c>
      <c r="H395" t="s">
        <v>44</v>
      </c>
      <c r="I395" s="3">
        <v>969.55</v>
      </c>
      <c r="J395" t="s">
        <v>15</v>
      </c>
      <c r="K395" s="4">
        <v>0.9</v>
      </c>
      <c r="L395" s="3">
        <f t="shared" si="24"/>
        <v>872.59500000000003</v>
      </c>
      <c r="M395" s="3">
        <f t="shared" si="25"/>
        <v>96.95499999999997</v>
      </c>
      <c r="N395">
        <f t="shared" si="26"/>
        <v>1</v>
      </c>
      <c r="O395" s="3">
        <f t="shared" si="27"/>
        <v>969.55</v>
      </c>
      <c r="P395" t="str" cm="1">
        <f t="array" ref="P395">_xlfn.IFS(C395&lt;18, "Under 18", C395&lt;36, "Btw 18&amp;35", C395&lt;51, "Btw 36&amp;50", C395&lt;66, "Btw 51&amp;65", C395&gt;=66," 66&amp;Above")</f>
        <v>Btw 18&amp;35</v>
      </c>
    </row>
    <row r="396" spans="1:16">
      <c r="A396" t="s">
        <v>788</v>
      </c>
      <c r="B396" t="s">
        <v>789</v>
      </c>
      <c r="C396">
        <v>63</v>
      </c>
      <c r="D396" t="s">
        <v>12</v>
      </c>
      <c r="E396" s="2">
        <v>45500</v>
      </c>
      <c r="F396" s="2">
        <v>45510</v>
      </c>
      <c r="G396" t="s">
        <v>13</v>
      </c>
      <c r="H396" t="s">
        <v>19</v>
      </c>
      <c r="I396" s="3">
        <v>29016.400000000001</v>
      </c>
      <c r="J396" t="s">
        <v>15</v>
      </c>
      <c r="K396" s="4">
        <v>0.7</v>
      </c>
      <c r="L396" s="3">
        <f t="shared" si="24"/>
        <v>20311.48</v>
      </c>
      <c r="M396" s="3">
        <f t="shared" si="25"/>
        <v>8704.9200000000019</v>
      </c>
      <c r="N396">
        <f t="shared" si="26"/>
        <v>10</v>
      </c>
      <c r="O396" s="3">
        <f t="shared" si="27"/>
        <v>29016.400000000001</v>
      </c>
      <c r="P396" t="str" cm="1">
        <f t="array" ref="P396">_xlfn.IFS(C396&lt;18, "Under 18", C396&lt;36, "Btw 18&amp;35", C396&lt;51, "Btw 36&amp;50", C396&lt;66, "Btw 51&amp;65", C396&gt;=66," 66&amp;Above")</f>
        <v>Btw 51&amp;65</v>
      </c>
    </row>
    <row r="397" spans="1:16">
      <c r="A397" t="s">
        <v>790</v>
      </c>
      <c r="B397" t="s">
        <v>791</v>
      </c>
      <c r="C397">
        <v>15</v>
      </c>
      <c r="D397" t="s">
        <v>18</v>
      </c>
      <c r="E397" s="2">
        <v>45857</v>
      </c>
      <c r="F397" s="2">
        <v>45861</v>
      </c>
      <c r="G397" t="s">
        <v>49</v>
      </c>
      <c r="H397" t="s">
        <v>117</v>
      </c>
      <c r="I397" s="3">
        <v>6415.8</v>
      </c>
      <c r="J397" t="s">
        <v>15</v>
      </c>
      <c r="K397" s="4">
        <v>0.8</v>
      </c>
      <c r="L397" s="3">
        <f t="shared" si="24"/>
        <v>5132.6400000000003</v>
      </c>
      <c r="M397" s="3">
        <f t="shared" si="25"/>
        <v>1283.1599999999999</v>
      </c>
      <c r="N397">
        <f t="shared" si="26"/>
        <v>4</v>
      </c>
      <c r="O397" s="3">
        <f t="shared" si="27"/>
        <v>6415.8</v>
      </c>
      <c r="P397" t="str" cm="1">
        <f t="array" ref="P397">_xlfn.IFS(C397&lt;18, "Under 18", C397&lt;36, "Btw 18&amp;35", C397&lt;51, "Btw 36&amp;50", C397&lt;66, "Btw 51&amp;65", C397&gt;=66," 66&amp;Above")</f>
        <v>Under 18</v>
      </c>
    </row>
    <row r="398" spans="1:16">
      <c r="A398" t="s">
        <v>792</v>
      </c>
      <c r="B398" t="s">
        <v>793</v>
      </c>
      <c r="C398">
        <v>54</v>
      </c>
      <c r="D398" t="s">
        <v>12</v>
      </c>
      <c r="E398" s="2">
        <v>45646</v>
      </c>
      <c r="F398" s="2">
        <v>45651</v>
      </c>
      <c r="G398" t="s">
        <v>13</v>
      </c>
      <c r="H398" t="s">
        <v>102</v>
      </c>
      <c r="I398" s="3">
        <v>12816.46</v>
      </c>
      <c r="J398" t="s">
        <v>15</v>
      </c>
      <c r="K398" s="4">
        <v>0.5</v>
      </c>
      <c r="L398" s="3">
        <f t="shared" si="24"/>
        <v>6408.23</v>
      </c>
      <c r="M398" s="3">
        <f t="shared" si="25"/>
        <v>6408.23</v>
      </c>
      <c r="N398">
        <f t="shared" si="26"/>
        <v>5</v>
      </c>
      <c r="O398" s="3">
        <f t="shared" si="27"/>
        <v>12816.46</v>
      </c>
      <c r="P398" t="str" cm="1">
        <f t="array" ref="P398">_xlfn.IFS(C398&lt;18, "Under 18", C398&lt;36, "Btw 18&amp;35", C398&lt;51, "Btw 36&amp;50", C398&lt;66, "Btw 51&amp;65", C398&gt;=66," 66&amp;Above")</f>
        <v>Btw 51&amp;65</v>
      </c>
    </row>
    <row r="399" spans="1:16">
      <c r="A399" t="s">
        <v>794</v>
      </c>
      <c r="B399" t="s">
        <v>795</v>
      </c>
      <c r="C399">
        <v>77</v>
      </c>
      <c r="D399" t="s">
        <v>18</v>
      </c>
      <c r="E399" s="2">
        <v>45582</v>
      </c>
      <c r="F399" s="2">
        <v>45585</v>
      </c>
      <c r="G399" t="s">
        <v>13</v>
      </c>
      <c r="H399" t="s">
        <v>165</v>
      </c>
      <c r="I399" s="3">
        <v>7577.11</v>
      </c>
      <c r="J399" t="s">
        <v>15</v>
      </c>
      <c r="K399" s="4">
        <v>0.8</v>
      </c>
      <c r="L399" s="3">
        <f t="shared" si="24"/>
        <v>6061.6880000000001</v>
      </c>
      <c r="M399" s="3">
        <f t="shared" si="25"/>
        <v>1515.4219999999996</v>
      </c>
      <c r="N399">
        <f t="shared" si="26"/>
        <v>3</v>
      </c>
      <c r="O399" s="3">
        <f t="shared" si="27"/>
        <v>7577.11</v>
      </c>
      <c r="P399" t="str" cm="1">
        <f t="array" ref="P399">_xlfn.IFS(C399&lt;18, "Under 18", C399&lt;36, "Btw 18&amp;35", C399&lt;51, "Btw 36&amp;50", C399&lt;66, "Btw 51&amp;65", C399&gt;=66," 66&amp;Above")</f>
        <v xml:space="preserve"> 66&amp;Above</v>
      </c>
    </row>
    <row r="400" spans="1:16">
      <c r="A400" t="s">
        <v>796</v>
      </c>
      <c r="B400" t="s">
        <v>797</v>
      </c>
      <c r="C400">
        <v>35</v>
      </c>
      <c r="D400" t="s">
        <v>12</v>
      </c>
      <c r="E400" s="2">
        <v>45641</v>
      </c>
      <c r="F400" s="2">
        <v>45642</v>
      </c>
      <c r="G400" t="s">
        <v>23</v>
      </c>
      <c r="H400" t="s">
        <v>204</v>
      </c>
      <c r="I400" s="3">
        <v>1670.53</v>
      </c>
      <c r="J400" t="s">
        <v>15</v>
      </c>
      <c r="K400" s="4">
        <v>0.8</v>
      </c>
      <c r="L400" s="3">
        <f t="shared" si="24"/>
        <v>1336.424</v>
      </c>
      <c r="M400" s="3">
        <f t="shared" si="25"/>
        <v>334.10599999999994</v>
      </c>
      <c r="N400">
        <f t="shared" si="26"/>
        <v>1</v>
      </c>
      <c r="O400" s="3">
        <f t="shared" si="27"/>
        <v>1670.53</v>
      </c>
      <c r="P400" t="str" cm="1">
        <f t="array" ref="P400">_xlfn.IFS(C400&lt;18, "Under 18", C400&lt;36, "Btw 18&amp;35", C400&lt;51, "Btw 36&amp;50", C400&lt;66, "Btw 51&amp;65", C400&gt;=66," 66&amp;Above")</f>
        <v>Btw 18&amp;35</v>
      </c>
    </row>
    <row r="401" spans="1:16">
      <c r="A401" t="s">
        <v>798</v>
      </c>
      <c r="B401" t="s">
        <v>799</v>
      </c>
      <c r="C401">
        <v>58</v>
      </c>
      <c r="D401" t="s">
        <v>12</v>
      </c>
      <c r="E401" s="2">
        <v>45390</v>
      </c>
      <c r="F401" s="2">
        <v>45398</v>
      </c>
      <c r="G401" t="s">
        <v>60</v>
      </c>
      <c r="H401" t="s">
        <v>74</v>
      </c>
      <c r="I401" s="3">
        <v>19956.13</v>
      </c>
      <c r="J401" t="s">
        <v>15</v>
      </c>
      <c r="K401" s="4">
        <v>1</v>
      </c>
      <c r="L401" s="3">
        <f t="shared" si="24"/>
        <v>19956.13</v>
      </c>
      <c r="M401" s="3">
        <f t="shared" si="25"/>
        <v>0</v>
      </c>
      <c r="N401">
        <f t="shared" si="26"/>
        <v>8</v>
      </c>
      <c r="O401" s="3">
        <f t="shared" si="27"/>
        <v>19956.13</v>
      </c>
      <c r="P401" t="str" cm="1">
        <f t="array" ref="P401">_xlfn.IFS(C401&lt;18, "Under 18", C401&lt;36, "Btw 18&amp;35", C401&lt;51, "Btw 36&amp;50", C401&lt;66, "Btw 51&amp;65", C401&gt;=66," 66&amp;Above")</f>
        <v>Btw 51&amp;65</v>
      </c>
    </row>
    <row r="402" spans="1:16">
      <c r="A402" t="s">
        <v>800</v>
      </c>
      <c r="B402" t="s">
        <v>377</v>
      </c>
      <c r="C402">
        <v>73</v>
      </c>
      <c r="D402" t="s">
        <v>12</v>
      </c>
      <c r="E402" s="2">
        <v>45441</v>
      </c>
      <c r="F402" s="2">
        <v>45443</v>
      </c>
      <c r="G402" t="s">
        <v>23</v>
      </c>
      <c r="H402" t="s">
        <v>82</v>
      </c>
      <c r="I402" s="3">
        <v>2111.6799999999998</v>
      </c>
      <c r="J402" t="s">
        <v>15</v>
      </c>
      <c r="K402" s="4">
        <v>0.9</v>
      </c>
      <c r="L402" s="3">
        <f t="shared" si="24"/>
        <v>1900.5119999999999</v>
      </c>
      <c r="M402" s="3">
        <f t="shared" si="25"/>
        <v>211.16799999999995</v>
      </c>
      <c r="N402">
        <f t="shared" si="26"/>
        <v>2</v>
      </c>
      <c r="O402" s="3">
        <f t="shared" si="27"/>
        <v>2111.6799999999998</v>
      </c>
      <c r="P402" t="str" cm="1">
        <f t="array" ref="P402">_xlfn.IFS(C402&lt;18, "Under 18", C402&lt;36, "Btw 18&amp;35", C402&lt;51, "Btw 36&amp;50", C402&lt;66, "Btw 51&amp;65", C402&gt;=66," 66&amp;Above")</f>
        <v xml:space="preserve"> 66&amp;Above</v>
      </c>
    </row>
    <row r="403" spans="1:16">
      <c r="A403" t="s">
        <v>801</v>
      </c>
      <c r="B403" t="s">
        <v>802</v>
      </c>
      <c r="C403">
        <v>40</v>
      </c>
      <c r="D403" t="s">
        <v>18</v>
      </c>
      <c r="E403" s="2">
        <v>45336</v>
      </c>
      <c r="F403" s="2">
        <v>45342</v>
      </c>
      <c r="G403" t="s">
        <v>60</v>
      </c>
      <c r="H403" t="s">
        <v>142</v>
      </c>
      <c r="I403" s="3">
        <v>9466.9</v>
      </c>
      <c r="J403" t="s">
        <v>25</v>
      </c>
      <c r="K403" s="4">
        <v>0.7</v>
      </c>
      <c r="L403" s="3">
        <f t="shared" si="24"/>
        <v>6626.829999999999</v>
      </c>
      <c r="M403" s="3">
        <f t="shared" si="25"/>
        <v>2840.07</v>
      </c>
      <c r="N403">
        <f t="shared" si="26"/>
        <v>6</v>
      </c>
      <c r="O403" s="3">
        <f t="shared" si="27"/>
        <v>0</v>
      </c>
      <c r="P403" t="str" cm="1">
        <f t="array" ref="P403">_xlfn.IFS(C403&lt;18, "Under 18", C403&lt;36, "Btw 18&amp;35", C403&lt;51, "Btw 36&amp;50", C403&lt;66, "Btw 51&amp;65", C403&gt;=66," 66&amp;Above")</f>
        <v>Btw 36&amp;50</v>
      </c>
    </row>
    <row r="404" spans="1:16">
      <c r="A404" t="s">
        <v>803</v>
      </c>
      <c r="B404" t="s">
        <v>804</v>
      </c>
      <c r="C404">
        <v>42</v>
      </c>
      <c r="D404" t="s">
        <v>18</v>
      </c>
      <c r="E404" s="2">
        <v>45294</v>
      </c>
      <c r="F404" s="2">
        <v>45304</v>
      </c>
      <c r="G404" t="s">
        <v>70</v>
      </c>
      <c r="H404" t="s">
        <v>194</v>
      </c>
      <c r="I404" s="3">
        <v>20681.509999999998</v>
      </c>
      <c r="J404" t="s">
        <v>15</v>
      </c>
      <c r="K404" s="4">
        <v>0.9</v>
      </c>
      <c r="L404" s="3">
        <f t="shared" si="24"/>
        <v>18613.359</v>
      </c>
      <c r="M404" s="3">
        <f t="shared" si="25"/>
        <v>2068.1509999999994</v>
      </c>
      <c r="N404">
        <f t="shared" si="26"/>
        <v>10</v>
      </c>
      <c r="O404" s="3">
        <f t="shared" si="27"/>
        <v>20681.509999999998</v>
      </c>
      <c r="P404" t="str" cm="1">
        <f t="array" ref="P404">_xlfn.IFS(C404&lt;18, "Under 18", C404&lt;36, "Btw 18&amp;35", C404&lt;51, "Btw 36&amp;50", C404&lt;66, "Btw 51&amp;65", C404&gt;=66," 66&amp;Above")</f>
        <v>Btw 36&amp;50</v>
      </c>
    </row>
    <row r="405" spans="1:16">
      <c r="A405" t="s">
        <v>805</v>
      </c>
      <c r="B405" t="s">
        <v>806</v>
      </c>
      <c r="C405">
        <v>12</v>
      </c>
      <c r="D405" t="s">
        <v>12</v>
      </c>
      <c r="E405" s="2">
        <v>45750</v>
      </c>
      <c r="F405" s="2">
        <v>45754</v>
      </c>
      <c r="G405" t="s">
        <v>49</v>
      </c>
      <c r="H405" t="s">
        <v>130</v>
      </c>
      <c r="I405" s="3">
        <v>2556.54</v>
      </c>
      <c r="J405" t="s">
        <v>15</v>
      </c>
      <c r="K405" s="4">
        <v>1</v>
      </c>
      <c r="L405" s="3">
        <f t="shared" si="24"/>
        <v>2556.54</v>
      </c>
      <c r="M405" s="3">
        <f t="shared" si="25"/>
        <v>0</v>
      </c>
      <c r="N405">
        <f t="shared" si="26"/>
        <v>4</v>
      </c>
      <c r="O405" s="3">
        <f t="shared" si="27"/>
        <v>2556.54</v>
      </c>
      <c r="P405" t="str" cm="1">
        <f t="array" ref="P405">_xlfn.IFS(C405&lt;18, "Under 18", C405&lt;36, "Btw 18&amp;35", C405&lt;51, "Btw 36&amp;50", C405&lt;66, "Btw 51&amp;65", C405&gt;=66," 66&amp;Above")</f>
        <v>Under 18</v>
      </c>
    </row>
    <row r="406" spans="1:16">
      <c r="A406" t="s">
        <v>807</v>
      </c>
      <c r="B406" t="s">
        <v>808</v>
      </c>
      <c r="C406">
        <v>67</v>
      </c>
      <c r="D406" t="s">
        <v>12</v>
      </c>
      <c r="E406" s="2">
        <v>45359</v>
      </c>
      <c r="F406" s="2">
        <v>45367</v>
      </c>
      <c r="G406" t="s">
        <v>70</v>
      </c>
      <c r="H406" t="s">
        <v>71</v>
      </c>
      <c r="I406" s="3">
        <v>20496.009999999998</v>
      </c>
      <c r="J406" t="s">
        <v>20</v>
      </c>
      <c r="K406" s="4">
        <v>1</v>
      </c>
      <c r="L406" s="3">
        <f t="shared" si="24"/>
        <v>20496.009999999998</v>
      </c>
      <c r="M406" s="3">
        <f t="shared" si="25"/>
        <v>0</v>
      </c>
      <c r="N406">
        <f t="shared" si="26"/>
        <v>8</v>
      </c>
      <c r="O406" s="3">
        <f t="shared" si="27"/>
        <v>0</v>
      </c>
      <c r="P406" t="str" cm="1">
        <f t="array" ref="P406">_xlfn.IFS(C406&lt;18, "Under 18", C406&lt;36, "Btw 18&amp;35", C406&lt;51, "Btw 36&amp;50", C406&lt;66, "Btw 51&amp;65", C406&gt;=66," 66&amp;Above")</f>
        <v xml:space="preserve"> 66&amp;Above</v>
      </c>
    </row>
    <row r="407" spans="1:16">
      <c r="A407" t="s">
        <v>809</v>
      </c>
      <c r="B407" t="s">
        <v>810</v>
      </c>
      <c r="C407">
        <v>1</v>
      </c>
      <c r="D407" t="s">
        <v>12</v>
      </c>
      <c r="E407" s="2">
        <v>45405</v>
      </c>
      <c r="F407" s="2">
        <v>45406</v>
      </c>
      <c r="G407" t="s">
        <v>49</v>
      </c>
      <c r="H407" t="s">
        <v>50</v>
      </c>
      <c r="I407" s="3">
        <v>1269.22</v>
      </c>
      <c r="J407" t="s">
        <v>15</v>
      </c>
      <c r="K407" s="4">
        <v>0.9</v>
      </c>
      <c r="L407" s="3">
        <f t="shared" si="24"/>
        <v>1142.298</v>
      </c>
      <c r="M407" s="3">
        <f t="shared" si="25"/>
        <v>126.92199999999997</v>
      </c>
      <c r="N407">
        <f t="shared" si="26"/>
        <v>1</v>
      </c>
      <c r="O407" s="3">
        <f t="shared" si="27"/>
        <v>1269.22</v>
      </c>
      <c r="P407" t="str" cm="1">
        <f t="array" ref="P407">_xlfn.IFS(C407&lt;18, "Under 18", C407&lt;36, "Btw 18&amp;35", C407&lt;51, "Btw 36&amp;50", C407&lt;66, "Btw 51&amp;65", C407&gt;=66," 66&amp;Above")</f>
        <v>Under 18</v>
      </c>
    </row>
    <row r="408" spans="1:16">
      <c r="A408" t="s">
        <v>811</v>
      </c>
      <c r="B408" t="s">
        <v>812</v>
      </c>
      <c r="C408">
        <v>74</v>
      </c>
      <c r="D408" t="s">
        <v>18</v>
      </c>
      <c r="E408" s="2">
        <v>45527</v>
      </c>
      <c r="F408" s="2">
        <v>45536</v>
      </c>
      <c r="G408" t="s">
        <v>60</v>
      </c>
      <c r="H408" t="s">
        <v>61</v>
      </c>
      <c r="I408" s="3">
        <v>14175.59</v>
      </c>
      <c r="J408" t="s">
        <v>25</v>
      </c>
      <c r="K408" s="4">
        <v>0.7</v>
      </c>
      <c r="L408" s="3">
        <f t="shared" si="24"/>
        <v>9922.9129999999986</v>
      </c>
      <c r="M408" s="3">
        <f t="shared" si="25"/>
        <v>4252.6770000000006</v>
      </c>
      <c r="N408">
        <f t="shared" si="26"/>
        <v>9</v>
      </c>
      <c r="O408" s="3">
        <f t="shared" si="27"/>
        <v>0</v>
      </c>
      <c r="P408" t="str" cm="1">
        <f t="array" ref="P408">_xlfn.IFS(C408&lt;18, "Under 18", C408&lt;36, "Btw 18&amp;35", C408&lt;51, "Btw 36&amp;50", C408&lt;66, "Btw 51&amp;65", C408&gt;=66," 66&amp;Above")</f>
        <v xml:space="preserve"> 66&amp;Above</v>
      </c>
    </row>
    <row r="409" spans="1:16">
      <c r="A409" t="s">
        <v>813</v>
      </c>
      <c r="B409" t="s">
        <v>814</v>
      </c>
      <c r="C409">
        <v>36</v>
      </c>
      <c r="D409" t="s">
        <v>18</v>
      </c>
      <c r="E409" s="2">
        <v>45845</v>
      </c>
      <c r="F409" s="2">
        <v>45847</v>
      </c>
      <c r="G409" t="s">
        <v>23</v>
      </c>
      <c r="H409" t="s">
        <v>333</v>
      </c>
      <c r="I409" s="3">
        <v>2258.0700000000002</v>
      </c>
      <c r="J409" t="s">
        <v>15</v>
      </c>
      <c r="K409" s="4">
        <v>0.8</v>
      </c>
      <c r="L409" s="3">
        <f t="shared" si="24"/>
        <v>1806.4560000000001</v>
      </c>
      <c r="M409" s="3">
        <f t="shared" si="25"/>
        <v>451.61399999999992</v>
      </c>
      <c r="N409">
        <f t="shared" si="26"/>
        <v>2</v>
      </c>
      <c r="O409" s="3">
        <f t="shared" si="27"/>
        <v>2258.0700000000002</v>
      </c>
      <c r="P409" t="str" cm="1">
        <f t="array" ref="P409">_xlfn.IFS(C409&lt;18, "Under 18", C409&lt;36, "Btw 18&amp;35", C409&lt;51, "Btw 36&amp;50", C409&lt;66, "Btw 51&amp;65", C409&gt;=66," 66&amp;Above")</f>
        <v>Btw 36&amp;50</v>
      </c>
    </row>
    <row r="410" spans="1:16">
      <c r="A410" t="s">
        <v>815</v>
      </c>
      <c r="B410" t="s">
        <v>816</v>
      </c>
      <c r="C410">
        <v>53</v>
      </c>
      <c r="D410" t="s">
        <v>12</v>
      </c>
      <c r="E410" s="2">
        <v>45980</v>
      </c>
      <c r="F410" s="2">
        <v>45981</v>
      </c>
      <c r="G410" t="s">
        <v>31</v>
      </c>
      <c r="H410" t="s">
        <v>114</v>
      </c>
      <c r="I410" s="3">
        <v>1471.29</v>
      </c>
      <c r="J410" t="s">
        <v>15</v>
      </c>
      <c r="K410" s="4">
        <v>0.8</v>
      </c>
      <c r="L410" s="3">
        <f t="shared" si="24"/>
        <v>1177.0319999999999</v>
      </c>
      <c r="M410" s="3">
        <f t="shared" si="25"/>
        <v>294.25799999999992</v>
      </c>
      <c r="N410">
        <f t="shared" si="26"/>
        <v>1</v>
      </c>
      <c r="O410" s="3">
        <f t="shared" si="27"/>
        <v>1471.29</v>
      </c>
      <c r="P410" t="str" cm="1">
        <f t="array" ref="P410">_xlfn.IFS(C410&lt;18, "Under 18", C410&lt;36, "Btw 18&amp;35", C410&lt;51, "Btw 36&amp;50", C410&lt;66, "Btw 51&amp;65", C410&gt;=66," 66&amp;Above")</f>
        <v>Btw 51&amp;65</v>
      </c>
    </row>
    <row r="411" spans="1:16">
      <c r="A411" t="s">
        <v>817</v>
      </c>
      <c r="B411" t="s">
        <v>818</v>
      </c>
      <c r="C411">
        <v>7</v>
      </c>
      <c r="D411" t="s">
        <v>18</v>
      </c>
      <c r="E411" s="2">
        <v>45755</v>
      </c>
      <c r="F411" s="2">
        <v>45759</v>
      </c>
      <c r="G411" t="s">
        <v>49</v>
      </c>
      <c r="H411" t="s">
        <v>50</v>
      </c>
      <c r="I411" s="3">
        <v>4671.33</v>
      </c>
      <c r="J411" t="s">
        <v>15</v>
      </c>
      <c r="K411" s="4">
        <v>0.7</v>
      </c>
      <c r="L411" s="3">
        <f t="shared" si="24"/>
        <v>3269.9309999999996</v>
      </c>
      <c r="M411" s="3">
        <f t="shared" si="25"/>
        <v>1401.3990000000001</v>
      </c>
      <c r="N411">
        <f t="shared" si="26"/>
        <v>4</v>
      </c>
      <c r="O411" s="3">
        <f t="shared" si="27"/>
        <v>4671.33</v>
      </c>
      <c r="P411" t="str" cm="1">
        <f t="array" ref="P411">_xlfn.IFS(C411&lt;18, "Under 18", C411&lt;36, "Btw 18&amp;35", C411&lt;51, "Btw 36&amp;50", C411&lt;66, "Btw 51&amp;65", C411&gt;=66," 66&amp;Above")</f>
        <v>Under 18</v>
      </c>
    </row>
    <row r="412" spans="1:16">
      <c r="A412" t="s">
        <v>819</v>
      </c>
      <c r="B412" t="s">
        <v>820</v>
      </c>
      <c r="C412">
        <v>56</v>
      </c>
      <c r="D412" t="s">
        <v>12</v>
      </c>
      <c r="E412" s="2">
        <v>46015</v>
      </c>
      <c r="F412" s="2">
        <v>46018</v>
      </c>
      <c r="G412" t="s">
        <v>23</v>
      </c>
      <c r="H412" t="s">
        <v>28</v>
      </c>
      <c r="I412" s="3">
        <v>3856.57</v>
      </c>
      <c r="J412" t="s">
        <v>15</v>
      </c>
      <c r="K412" s="4">
        <v>0.7</v>
      </c>
      <c r="L412" s="3">
        <f t="shared" si="24"/>
        <v>2699.5990000000002</v>
      </c>
      <c r="M412" s="3">
        <f t="shared" si="25"/>
        <v>1156.9710000000002</v>
      </c>
      <c r="N412">
        <f t="shared" si="26"/>
        <v>3</v>
      </c>
      <c r="O412" s="3">
        <f t="shared" si="27"/>
        <v>3856.57</v>
      </c>
      <c r="P412" t="str" cm="1">
        <f t="array" ref="P412">_xlfn.IFS(C412&lt;18, "Under 18", C412&lt;36, "Btw 18&amp;35", C412&lt;51, "Btw 36&amp;50", C412&lt;66, "Btw 51&amp;65", C412&gt;=66," 66&amp;Above")</f>
        <v>Btw 51&amp;65</v>
      </c>
    </row>
    <row r="413" spans="1:16">
      <c r="A413" t="s">
        <v>821</v>
      </c>
      <c r="B413" t="s">
        <v>769</v>
      </c>
      <c r="C413">
        <v>42</v>
      </c>
      <c r="D413" t="s">
        <v>18</v>
      </c>
      <c r="E413" s="2">
        <v>45970</v>
      </c>
      <c r="F413" s="2">
        <v>45979</v>
      </c>
      <c r="G413" t="s">
        <v>13</v>
      </c>
      <c r="H413" t="s">
        <v>111</v>
      </c>
      <c r="I413" s="3">
        <v>22775.06</v>
      </c>
      <c r="J413" t="s">
        <v>15</v>
      </c>
      <c r="K413" s="4">
        <v>0.8</v>
      </c>
      <c r="L413" s="3">
        <f t="shared" si="24"/>
        <v>18220.048000000003</v>
      </c>
      <c r="M413" s="3">
        <f t="shared" si="25"/>
        <v>4555.0119999999988</v>
      </c>
      <c r="N413">
        <f t="shared" si="26"/>
        <v>9</v>
      </c>
      <c r="O413" s="3">
        <f t="shared" si="27"/>
        <v>22775.06</v>
      </c>
      <c r="P413" t="str" cm="1">
        <f t="array" ref="P413">_xlfn.IFS(C413&lt;18, "Under 18", C413&lt;36, "Btw 18&amp;35", C413&lt;51, "Btw 36&amp;50", C413&lt;66, "Btw 51&amp;65", C413&gt;=66," 66&amp;Above")</f>
        <v>Btw 36&amp;50</v>
      </c>
    </row>
    <row r="414" spans="1:16">
      <c r="A414" t="s">
        <v>822</v>
      </c>
      <c r="B414" t="s">
        <v>823</v>
      </c>
      <c r="C414">
        <v>53</v>
      </c>
      <c r="D414" t="s">
        <v>18</v>
      </c>
      <c r="E414" s="2">
        <v>45375</v>
      </c>
      <c r="F414" s="2">
        <v>45377</v>
      </c>
      <c r="G414" t="s">
        <v>23</v>
      </c>
      <c r="H414" t="s">
        <v>41</v>
      </c>
      <c r="I414" s="3">
        <v>2542.9899999999998</v>
      </c>
      <c r="J414" t="s">
        <v>20</v>
      </c>
      <c r="K414" s="4">
        <v>0.6</v>
      </c>
      <c r="L414" s="3">
        <f t="shared" si="24"/>
        <v>1525.7939999999999</v>
      </c>
      <c r="M414" s="3">
        <f t="shared" si="25"/>
        <v>1017.1959999999999</v>
      </c>
      <c r="N414">
        <f t="shared" si="26"/>
        <v>2</v>
      </c>
      <c r="O414" s="3">
        <f t="shared" si="27"/>
        <v>0</v>
      </c>
      <c r="P414" t="str" cm="1">
        <f t="array" ref="P414">_xlfn.IFS(C414&lt;18, "Under 18", C414&lt;36, "Btw 18&amp;35", C414&lt;51, "Btw 36&amp;50", C414&lt;66, "Btw 51&amp;65", C414&gt;=66," 66&amp;Above")</f>
        <v>Btw 51&amp;65</v>
      </c>
    </row>
    <row r="415" spans="1:16">
      <c r="A415" t="s">
        <v>824</v>
      </c>
      <c r="B415" t="s">
        <v>825</v>
      </c>
      <c r="C415">
        <v>4</v>
      </c>
      <c r="D415" t="s">
        <v>18</v>
      </c>
      <c r="E415" s="2">
        <v>45840</v>
      </c>
      <c r="F415" s="2">
        <v>45844</v>
      </c>
      <c r="G415" t="s">
        <v>49</v>
      </c>
      <c r="H415" t="s">
        <v>117</v>
      </c>
      <c r="I415" s="3">
        <v>7044.38</v>
      </c>
      <c r="J415" t="s">
        <v>15</v>
      </c>
      <c r="K415" s="4">
        <v>0.9</v>
      </c>
      <c r="L415" s="3">
        <f t="shared" si="24"/>
        <v>6339.942</v>
      </c>
      <c r="M415" s="3">
        <f t="shared" si="25"/>
        <v>704.43799999999987</v>
      </c>
      <c r="N415">
        <f t="shared" si="26"/>
        <v>4</v>
      </c>
      <c r="O415" s="3">
        <f t="shared" si="27"/>
        <v>7044.38</v>
      </c>
      <c r="P415" t="str" cm="1">
        <f t="array" ref="P415">_xlfn.IFS(C415&lt;18, "Under 18", C415&lt;36, "Btw 18&amp;35", C415&lt;51, "Btw 36&amp;50", C415&lt;66, "Btw 51&amp;65", C415&gt;=66," 66&amp;Above")</f>
        <v>Under 18</v>
      </c>
    </row>
    <row r="416" spans="1:16">
      <c r="A416" t="s">
        <v>826</v>
      </c>
      <c r="B416" t="s">
        <v>827</v>
      </c>
      <c r="C416">
        <v>11</v>
      </c>
      <c r="D416" t="s">
        <v>18</v>
      </c>
      <c r="E416" s="2">
        <v>45752</v>
      </c>
      <c r="F416" s="2">
        <v>45754</v>
      </c>
      <c r="G416" t="s">
        <v>49</v>
      </c>
      <c r="H416" t="s">
        <v>130</v>
      </c>
      <c r="I416" s="3">
        <v>3402.4</v>
      </c>
      <c r="J416" t="s">
        <v>15</v>
      </c>
      <c r="K416" s="4">
        <v>0.9</v>
      </c>
      <c r="L416" s="3">
        <f t="shared" si="24"/>
        <v>3062.1600000000003</v>
      </c>
      <c r="M416" s="3">
        <f t="shared" si="25"/>
        <v>340.23999999999995</v>
      </c>
      <c r="N416">
        <f t="shared" si="26"/>
        <v>2</v>
      </c>
      <c r="O416" s="3">
        <f t="shared" si="27"/>
        <v>3402.4</v>
      </c>
      <c r="P416" t="str" cm="1">
        <f t="array" ref="P416">_xlfn.IFS(C416&lt;18, "Under 18", C416&lt;36, "Btw 18&amp;35", C416&lt;51, "Btw 36&amp;50", C416&lt;66, "Btw 51&amp;65", C416&gt;=66," 66&amp;Above")</f>
        <v>Under 18</v>
      </c>
    </row>
    <row r="417" spans="1:16">
      <c r="A417" t="s">
        <v>828</v>
      </c>
      <c r="B417" t="s">
        <v>306</v>
      </c>
      <c r="C417">
        <v>62</v>
      </c>
      <c r="D417" t="s">
        <v>18</v>
      </c>
      <c r="E417" s="2">
        <v>45540</v>
      </c>
      <c r="F417" s="2">
        <v>45545</v>
      </c>
      <c r="G417" t="s">
        <v>60</v>
      </c>
      <c r="H417" t="s">
        <v>142</v>
      </c>
      <c r="I417" s="3">
        <v>13881.6</v>
      </c>
      <c r="J417" t="s">
        <v>15</v>
      </c>
      <c r="K417" s="4">
        <v>0.7</v>
      </c>
      <c r="L417" s="3">
        <f t="shared" si="24"/>
        <v>9717.119999999999</v>
      </c>
      <c r="M417" s="3">
        <f t="shared" si="25"/>
        <v>4164.4800000000005</v>
      </c>
      <c r="N417">
        <f t="shared" si="26"/>
        <v>5</v>
      </c>
      <c r="O417" s="3">
        <f t="shared" si="27"/>
        <v>13881.6</v>
      </c>
      <c r="P417" t="str" cm="1">
        <f t="array" ref="P417">_xlfn.IFS(C417&lt;18, "Under 18", C417&lt;36, "Btw 18&amp;35", C417&lt;51, "Btw 36&amp;50", C417&lt;66, "Btw 51&amp;65", C417&gt;=66," 66&amp;Above")</f>
        <v>Btw 51&amp;65</v>
      </c>
    </row>
    <row r="418" spans="1:16">
      <c r="A418" t="s">
        <v>829</v>
      </c>
      <c r="B418" t="s">
        <v>830</v>
      </c>
      <c r="C418">
        <v>29</v>
      </c>
      <c r="D418" t="s">
        <v>12</v>
      </c>
      <c r="E418" s="2">
        <v>45748</v>
      </c>
      <c r="F418" s="2">
        <v>45750</v>
      </c>
      <c r="G418" t="s">
        <v>31</v>
      </c>
      <c r="H418" t="s">
        <v>234</v>
      </c>
      <c r="I418" s="3">
        <v>1362.39</v>
      </c>
      <c r="J418" t="s">
        <v>15</v>
      </c>
      <c r="K418" s="4">
        <v>0.8</v>
      </c>
      <c r="L418" s="3">
        <f t="shared" si="24"/>
        <v>1089.912</v>
      </c>
      <c r="M418" s="3">
        <f t="shared" si="25"/>
        <v>272.47799999999995</v>
      </c>
      <c r="N418">
        <f t="shared" si="26"/>
        <v>2</v>
      </c>
      <c r="O418" s="3">
        <f t="shared" si="27"/>
        <v>1362.39</v>
      </c>
      <c r="P418" t="str" cm="1">
        <f t="array" ref="P418">_xlfn.IFS(C418&lt;18, "Under 18", C418&lt;36, "Btw 18&amp;35", C418&lt;51, "Btw 36&amp;50", C418&lt;66, "Btw 51&amp;65", C418&gt;=66," 66&amp;Above")</f>
        <v>Btw 18&amp;35</v>
      </c>
    </row>
    <row r="419" spans="1:16">
      <c r="A419" t="s">
        <v>831</v>
      </c>
      <c r="B419" t="s">
        <v>34</v>
      </c>
      <c r="C419">
        <v>2</v>
      </c>
      <c r="D419" t="s">
        <v>12</v>
      </c>
      <c r="E419" s="2">
        <v>45297</v>
      </c>
      <c r="F419" s="2">
        <v>45302</v>
      </c>
      <c r="G419" t="s">
        <v>49</v>
      </c>
      <c r="H419" t="s">
        <v>130</v>
      </c>
      <c r="I419" s="3">
        <v>8510.7800000000007</v>
      </c>
      <c r="J419" t="s">
        <v>15</v>
      </c>
      <c r="K419" s="4">
        <v>0.7</v>
      </c>
      <c r="L419" s="3">
        <f t="shared" si="24"/>
        <v>5957.5460000000003</v>
      </c>
      <c r="M419" s="3">
        <f t="shared" si="25"/>
        <v>2553.2340000000004</v>
      </c>
      <c r="N419">
        <f t="shared" si="26"/>
        <v>5</v>
      </c>
      <c r="O419" s="3">
        <f t="shared" si="27"/>
        <v>8510.7800000000007</v>
      </c>
      <c r="P419" t="str" cm="1">
        <f t="array" ref="P419">_xlfn.IFS(C419&lt;18, "Under 18", C419&lt;36, "Btw 18&amp;35", C419&lt;51, "Btw 36&amp;50", C419&lt;66, "Btw 51&amp;65", C419&gt;=66," 66&amp;Above")</f>
        <v>Under 18</v>
      </c>
    </row>
    <row r="420" spans="1:16">
      <c r="A420" t="s">
        <v>832</v>
      </c>
      <c r="B420" t="s">
        <v>144</v>
      </c>
      <c r="C420">
        <v>67</v>
      </c>
      <c r="D420" t="s">
        <v>12</v>
      </c>
      <c r="E420" s="2">
        <v>45564</v>
      </c>
      <c r="F420" s="2">
        <v>45567</v>
      </c>
      <c r="G420" t="s">
        <v>31</v>
      </c>
      <c r="H420" t="s">
        <v>234</v>
      </c>
      <c r="I420" s="3">
        <v>2154.9699999999998</v>
      </c>
      <c r="J420" t="s">
        <v>15</v>
      </c>
      <c r="K420" s="4">
        <v>0.9</v>
      </c>
      <c r="L420" s="3">
        <f t="shared" si="24"/>
        <v>1939.473</v>
      </c>
      <c r="M420" s="3">
        <f t="shared" si="25"/>
        <v>215.49699999999993</v>
      </c>
      <c r="N420">
        <f t="shared" si="26"/>
        <v>3</v>
      </c>
      <c r="O420" s="3">
        <f t="shared" si="27"/>
        <v>2154.9699999999998</v>
      </c>
      <c r="P420" t="str" cm="1">
        <f t="array" ref="P420">_xlfn.IFS(C420&lt;18, "Under 18", C420&lt;36, "Btw 18&amp;35", C420&lt;51, "Btw 36&amp;50", C420&lt;66, "Btw 51&amp;65", C420&gt;=66," 66&amp;Above")</f>
        <v xml:space="preserve"> 66&amp;Above</v>
      </c>
    </row>
    <row r="421" spans="1:16">
      <c r="A421" t="s">
        <v>833</v>
      </c>
      <c r="B421" t="s">
        <v>216</v>
      </c>
      <c r="C421">
        <v>62</v>
      </c>
      <c r="D421" t="s">
        <v>18</v>
      </c>
      <c r="E421" s="2">
        <v>45428</v>
      </c>
      <c r="F421" s="2">
        <v>45431</v>
      </c>
      <c r="G421" t="s">
        <v>31</v>
      </c>
      <c r="H421" t="s">
        <v>234</v>
      </c>
      <c r="I421" s="3">
        <v>1950</v>
      </c>
      <c r="J421" t="s">
        <v>20</v>
      </c>
      <c r="K421" s="4">
        <v>0.8</v>
      </c>
      <c r="L421" s="3">
        <f t="shared" si="24"/>
        <v>1560</v>
      </c>
      <c r="M421" s="3">
        <f t="shared" si="25"/>
        <v>389.99999999999989</v>
      </c>
      <c r="N421">
        <f t="shared" si="26"/>
        <v>3</v>
      </c>
      <c r="O421" s="3">
        <f t="shared" si="27"/>
        <v>0</v>
      </c>
      <c r="P421" t="str" cm="1">
        <f t="array" ref="P421">_xlfn.IFS(C421&lt;18, "Under 18", C421&lt;36, "Btw 18&amp;35", C421&lt;51, "Btw 36&amp;50", C421&lt;66, "Btw 51&amp;65", C421&gt;=66," 66&amp;Above")</f>
        <v>Btw 51&amp;65</v>
      </c>
    </row>
    <row r="422" spans="1:16">
      <c r="A422" t="s">
        <v>834</v>
      </c>
      <c r="B422" t="s">
        <v>835</v>
      </c>
      <c r="C422">
        <v>72</v>
      </c>
      <c r="D422" t="s">
        <v>18</v>
      </c>
      <c r="E422" s="2">
        <v>45524</v>
      </c>
      <c r="F422" s="2">
        <v>45529</v>
      </c>
      <c r="G422" t="s">
        <v>60</v>
      </c>
      <c r="H422" t="s">
        <v>133</v>
      </c>
      <c r="I422" s="3">
        <v>5004.03</v>
      </c>
      <c r="J422" t="s">
        <v>15</v>
      </c>
      <c r="K422" s="4">
        <v>1</v>
      </c>
      <c r="L422" s="3">
        <f t="shared" si="24"/>
        <v>5004.03</v>
      </c>
      <c r="M422" s="3">
        <f t="shared" si="25"/>
        <v>0</v>
      </c>
      <c r="N422">
        <f t="shared" si="26"/>
        <v>5</v>
      </c>
      <c r="O422" s="3">
        <f t="shared" si="27"/>
        <v>5004.03</v>
      </c>
      <c r="P422" t="str" cm="1">
        <f t="array" ref="P422">_xlfn.IFS(C422&lt;18, "Under 18", C422&lt;36, "Btw 18&amp;35", C422&lt;51, "Btw 36&amp;50", C422&lt;66, "Btw 51&amp;65", C422&gt;=66," 66&amp;Above")</f>
        <v xml:space="preserve"> 66&amp;Above</v>
      </c>
    </row>
    <row r="423" spans="1:16">
      <c r="A423" t="s">
        <v>836</v>
      </c>
      <c r="B423" t="s">
        <v>504</v>
      </c>
      <c r="C423">
        <v>63</v>
      </c>
      <c r="D423" t="s">
        <v>12</v>
      </c>
      <c r="E423" s="2">
        <v>45376</v>
      </c>
      <c r="F423" s="2">
        <v>45383</v>
      </c>
      <c r="G423" t="s">
        <v>70</v>
      </c>
      <c r="H423" t="s">
        <v>157</v>
      </c>
      <c r="I423" s="3">
        <v>7752.04</v>
      </c>
      <c r="J423" t="s">
        <v>15</v>
      </c>
      <c r="K423" s="4">
        <v>0.9</v>
      </c>
      <c r="L423" s="3">
        <f t="shared" si="24"/>
        <v>6976.8360000000002</v>
      </c>
      <c r="M423" s="3">
        <f t="shared" si="25"/>
        <v>775.20399999999984</v>
      </c>
      <c r="N423">
        <f t="shared" si="26"/>
        <v>7</v>
      </c>
      <c r="O423" s="3">
        <f t="shared" si="27"/>
        <v>7752.04</v>
      </c>
      <c r="P423" t="str" cm="1">
        <f t="array" ref="P423">_xlfn.IFS(C423&lt;18, "Under 18", C423&lt;36, "Btw 18&amp;35", C423&lt;51, "Btw 36&amp;50", C423&lt;66, "Btw 51&amp;65", C423&gt;=66," 66&amp;Above")</f>
        <v>Btw 51&amp;65</v>
      </c>
    </row>
    <row r="424" spans="1:16">
      <c r="A424" t="s">
        <v>837</v>
      </c>
      <c r="B424" t="s">
        <v>239</v>
      </c>
      <c r="C424">
        <v>69</v>
      </c>
      <c r="D424" t="s">
        <v>12</v>
      </c>
      <c r="E424" s="2">
        <v>45331</v>
      </c>
      <c r="F424" s="2">
        <v>45336</v>
      </c>
      <c r="G424" t="s">
        <v>60</v>
      </c>
      <c r="H424" t="s">
        <v>97</v>
      </c>
      <c r="I424" s="3">
        <v>6986.97</v>
      </c>
      <c r="J424" t="s">
        <v>20</v>
      </c>
      <c r="K424" s="4">
        <v>1</v>
      </c>
      <c r="L424" s="3">
        <f t="shared" si="24"/>
        <v>6986.97</v>
      </c>
      <c r="M424" s="3">
        <f t="shared" si="25"/>
        <v>0</v>
      </c>
      <c r="N424">
        <f t="shared" si="26"/>
        <v>5</v>
      </c>
      <c r="O424" s="3">
        <f t="shared" si="27"/>
        <v>0</v>
      </c>
      <c r="P424" t="str" cm="1">
        <f t="array" ref="P424">_xlfn.IFS(C424&lt;18, "Under 18", C424&lt;36, "Btw 18&amp;35", C424&lt;51, "Btw 36&amp;50", C424&lt;66, "Btw 51&amp;65", C424&gt;=66," 66&amp;Above")</f>
        <v xml:space="preserve"> 66&amp;Above</v>
      </c>
    </row>
    <row r="425" spans="1:16">
      <c r="A425" t="s">
        <v>838</v>
      </c>
      <c r="B425" t="s">
        <v>839</v>
      </c>
      <c r="C425">
        <v>52</v>
      </c>
      <c r="D425" t="s">
        <v>12</v>
      </c>
      <c r="E425" s="2">
        <v>45966</v>
      </c>
      <c r="F425" s="2">
        <v>45967</v>
      </c>
      <c r="G425" t="s">
        <v>23</v>
      </c>
      <c r="H425" t="s">
        <v>333</v>
      </c>
      <c r="I425" s="3">
        <v>1744.21</v>
      </c>
      <c r="J425" t="s">
        <v>20</v>
      </c>
      <c r="K425" s="4">
        <v>0.8</v>
      </c>
      <c r="L425" s="3">
        <f t="shared" si="24"/>
        <v>1395.3680000000002</v>
      </c>
      <c r="M425" s="3">
        <f t="shared" si="25"/>
        <v>348.84199999999993</v>
      </c>
      <c r="N425">
        <f t="shared" si="26"/>
        <v>1</v>
      </c>
      <c r="O425" s="3">
        <f t="shared" si="27"/>
        <v>0</v>
      </c>
      <c r="P425" t="str" cm="1">
        <f t="array" ref="P425">_xlfn.IFS(C425&lt;18, "Under 18", C425&lt;36, "Btw 18&amp;35", C425&lt;51, "Btw 36&amp;50", C425&lt;66, "Btw 51&amp;65", C425&gt;=66," 66&amp;Above")</f>
        <v>Btw 51&amp;65</v>
      </c>
    </row>
    <row r="426" spans="1:16">
      <c r="A426" t="s">
        <v>840</v>
      </c>
      <c r="B426" t="s">
        <v>841</v>
      </c>
      <c r="C426">
        <v>28</v>
      </c>
      <c r="D426" t="s">
        <v>18</v>
      </c>
      <c r="E426" s="2">
        <v>45307</v>
      </c>
      <c r="F426" s="2">
        <v>45320</v>
      </c>
      <c r="G426" t="s">
        <v>60</v>
      </c>
      <c r="H426" t="s">
        <v>142</v>
      </c>
      <c r="I426" s="3">
        <v>23326.29</v>
      </c>
      <c r="J426" t="s">
        <v>15</v>
      </c>
      <c r="K426" s="4">
        <v>0.6</v>
      </c>
      <c r="L426" s="3">
        <f t="shared" si="24"/>
        <v>13995.773999999999</v>
      </c>
      <c r="M426" s="3">
        <f t="shared" si="25"/>
        <v>9330.5160000000014</v>
      </c>
      <c r="N426">
        <f t="shared" si="26"/>
        <v>13</v>
      </c>
      <c r="O426" s="3">
        <f t="shared" si="27"/>
        <v>23326.29</v>
      </c>
      <c r="P426" t="str" cm="1">
        <f t="array" ref="P426">_xlfn.IFS(C426&lt;18, "Under 18", C426&lt;36, "Btw 18&amp;35", C426&lt;51, "Btw 36&amp;50", C426&lt;66, "Btw 51&amp;65", C426&gt;=66," 66&amp;Above")</f>
        <v>Btw 18&amp;35</v>
      </c>
    </row>
    <row r="427" spans="1:16">
      <c r="A427" t="s">
        <v>842</v>
      </c>
      <c r="B427" t="s">
        <v>843</v>
      </c>
      <c r="C427">
        <v>51</v>
      </c>
      <c r="D427" t="s">
        <v>18</v>
      </c>
      <c r="E427" s="2">
        <v>45925</v>
      </c>
      <c r="F427" s="2">
        <v>45932</v>
      </c>
      <c r="G427" t="s">
        <v>31</v>
      </c>
      <c r="H427" t="s">
        <v>35</v>
      </c>
      <c r="I427" s="3">
        <v>5587.17</v>
      </c>
      <c r="J427" t="s">
        <v>20</v>
      </c>
      <c r="K427" s="4">
        <v>0.7</v>
      </c>
      <c r="L427" s="3">
        <f t="shared" si="24"/>
        <v>3911.0189999999998</v>
      </c>
      <c r="M427" s="3">
        <f t="shared" si="25"/>
        <v>1676.1510000000003</v>
      </c>
      <c r="N427">
        <f t="shared" si="26"/>
        <v>7</v>
      </c>
      <c r="O427" s="3">
        <f t="shared" si="27"/>
        <v>0</v>
      </c>
      <c r="P427" t="str" cm="1">
        <f t="array" ref="P427">_xlfn.IFS(C427&lt;18, "Under 18", C427&lt;36, "Btw 18&amp;35", C427&lt;51, "Btw 36&amp;50", C427&lt;66, "Btw 51&amp;65", C427&gt;=66," 66&amp;Above")</f>
        <v>Btw 51&amp;65</v>
      </c>
    </row>
    <row r="428" spans="1:16">
      <c r="A428" t="s">
        <v>844</v>
      </c>
      <c r="B428" t="s">
        <v>478</v>
      </c>
      <c r="C428">
        <v>46</v>
      </c>
      <c r="D428" t="s">
        <v>18</v>
      </c>
      <c r="E428" s="2">
        <v>45796</v>
      </c>
      <c r="F428" s="2">
        <v>45809</v>
      </c>
      <c r="G428" t="s">
        <v>60</v>
      </c>
      <c r="H428" t="s">
        <v>133</v>
      </c>
      <c r="I428" s="3">
        <v>19329.240000000002</v>
      </c>
      <c r="J428" t="s">
        <v>15</v>
      </c>
      <c r="K428" s="4">
        <v>0.8</v>
      </c>
      <c r="L428" s="3">
        <f t="shared" si="24"/>
        <v>15463.392000000002</v>
      </c>
      <c r="M428" s="3">
        <f t="shared" si="25"/>
        <v>3865.8479999999995</v>
      </c>
      <c r="N428">
        <f t="shared" si="26"/>
        <v>13</v>
      </c>
      <c r="O428" s="3">
        <f t="shared" si="27"/>
        <v>19329.240000000002</v>
      </c>
      <c r="P428" t="str" cm="1">
        <f t="array" ref="P428">_xlfn.IFS(C428&lt;18, "Under 18", C428&lt;36, "Btw 18&amp;35", C428&lt;51, "Btw 36&amp;50", C428&lt;66, "Btw 51&amp;65", C428&gt;=66," 66&amp;Above")</f>
        <v>Btw 36&amp;50</v>
      </c>
    </row>
    <row r="429" spans="1:16">
      <c r="A429" t="s">
        <v>845</v>
      </c>
      <c r="B429" t="s">
        <v>846</v>
      </c>
      <c r="C429">
        <v>46</v>
      </c>
      <c r="D429" t="s">
        <v>12</v>
      </c>
      <c r="E429" s="2">
        <v>45702</v>
      </c>
      <c r="F429" s="2">
        <v>45710</v>
      </c>
      <c r="G429" t="s">
        <v>13</v>
      </c>
      <c r="H429" t="s">
        <v>14</v>
      </c>
      <c r="I429" s="3">
        <v>20311.28</v>
      </c>
      <c r="J429" t="s">
        <v>20</v>
      </c>
      <c r="K429" s="4">
        <v>0</v>
      </c>
      <c r="L429" s="3">
        <f t="shared" si="24"/>
        <v>0</v>
      </c>
      <c r="M429" s="3">
        <f t="shared" si="25"/>
        <v>20311.28</v>
      </c>
      <c r="N429">
        <f t="shared" si="26"/>
        <v>8</v>
      </c>
      <c r="O429" s="3">
        <f t="shared" si="27"/>
        <v>0</v>
      </c>
      <c r="P429" t="str" cm="1">
        <f t="array" ref="P429">_xlfn.IFS(C429&lt;18, "Under 18", C429&lt;36, "Btw 18&amp;35", C429&lt;51, "Btw 36&amp;50", C429&lt;66, "Btw 51&amp;65", C429&gt;=66," 66&amp;Above")</f>
        <v>Btw 36&amp;50</v>
      </c>
    </row>
    <row r="430" spans="1:16">
      <c r="A430" t="s">
        <v>847</v>
      </c>
      <c r="B430" t="s">
        <v>848</v>
      </c>
      <c r="C430">
        <v>73</v>
      </c>
      <c r="D430" t="s">
        <v>18</v>
      </c>
      <c r="E430" s="2">
        <v>45933</v>
      </c>
      <c r="F430" s="2">
        <v>45936</v>
      </c>
      <c r="G430" t="s">
        <v>23</v>
      </c>
      <c r="H430" t="s">
        <v>24</v>
      </c>
      <c r="I430" s="3">
        <v>2647.99</v>
      </c>
      <c r="J430" t="s">
        <v>20</v>
      </c>
      <c r="K430" s="4">
        <v>0.8</v>
      </c>
      <c r="L430" s="3">
        <f t="shared" si="24"/>
        <v>2118.3919999999998</v>
      </c>
      <c r="M430" s="3">
        <f t="shared" si="25"/>
        <v>529.59799999999984</v>
      </c>
      <c r="N430">
        <f t="shared" si="26"/>
        <v>3</v>
      </c>
      <c r="O430" s="3">
        <f t="shared" si="27"/>
        <v>0</v>
      </c>
      <c r="P430" t="str" cm="1">
        <f t="array" ref="P430">_xlfn.IFS(C430&lt;18, "Under 18", C430&lt;36, "Btw 18&amp;35", C430&lt;51, "Btw 36&amp;50", C430&lt;66, "Btw 51&amp;65", C430&gt;=66," 66&amp;Above")</f>
        <v xml:space="preserve"> 66&amp;Above</v>
      </c>
    </row>
    <row r="431" spans="1:16">
      <c r="A431" t="s">
        <v>849</v>
      </c>
      <c r="B431" t="s">
        <v>850</v>
      </c>
      <c r="C431">
        <v>14</v>
      </c>
      <c r="D431" t="s">
        <v>18</v>
      </c>
      <c r="E431" s="2">
        <v>46005</v>
      </c>
      <c r="F431" s="2">
        <v>46007</v>
      </c>
      <c r="G431" t="s">
        <v>49</v>
      </c>
      <c r="H431" t="s">
        <v>120</v>
      </c>
      <c r="I431" s="3">
        <v>3396.48</v>
      </c>
      <c r="J431" t="s">
        <v>15</v>
      </c>
      <c r="K431" s="4">
        <v>0.9</v>
      </c>
      <c r="L431" s="3">
        <f t="shared" si="24"/>
        <v>3056.8319999999999</v>
      </c>
      <c r="M431" s="3">
        <f t="shared" si="25"/>
        <v>339.64799999999991</v>
      </c>
      <c r="N431">
        <f t="shared" si="26"/>
        <v>2</v>
      </c>
      <c r="O431" s="3">
        <f t="shared" si="27"/>
        <v>3396.48</v>
      </c>
      <c r="P431" t="str" cm="1">
        <f t="array" ref="P431">_xlfn.IFS(C431&lt;18, "Under 18", C431&lt;36, "Btw 18&amp;35", C431&lt;51, "Btw 36&amp;50", C431&lt;66, "Btw 51&amp;65", C431&gt;=66," 66&amp;Above")</f>
        <v>Under 18</v>
      </c>
    </row>
    <row r="432" spans="1:16">
      <c r="A432" t="s">
        <v>851</v>
      </c>
      <c r="B432" t="s">
        <v>852</v>
      </c>
      <c r="C432">
        <v>82</v>
      </c>
      <c r="D432" t="s">
        <v>12</v>
      </c>
      <c r="E432" s="2">
        <v>45341</v>
      </c>
      <c r="F432" s="2">
        <v>45348</v>
      </c>
      <c r="G432" t="s">
        <v>31</v>
      </c>
      <c r="H432" t="s">
        <v>87</v>
      </c>
      <c r="I432" s="3">
        <v>9947.52</v>
      </c>
      <c r="J432" t="s">
        <v>20</v>
      </c>
      <c r="K432" s="4">
        <v>0.6</v>
      </c>
      <c r="L432" s="3">
        <f t="shared" si="24"/>
        <v>5968.5119999999997</v>
      </c>
      <c r="M432" s="3">
        <f t="shared" si="25"/>
        <v>3979.0080000000003</v>
      </c>
      <c r="N432">
        <f t="shared" si="26"/>
        <v>7</v>
      </c>
      <c r="O432" s="3">
        <f t="shared" si="27"/>
        <v>0</v>
      </c>
      <c r="P432" t="str" cm="1">
        <f t="array" ref="P432">_xlfn.IFS(C432&lt;18, "Under 18", C432&lt;36, "Btw 18&amp;35", C432&lt;51, "Btw 36&amp;50", C432&lt;66, "Btw 51&amp;65", C432&gt;=66," 66&amp;Above")</f>
        <v xml:space="preserve"> 66&amp;Above</v>
      </c>
    </row>
    <row r="433" spans="1:16">
      <c r="A433" t="s">
        <v>853</v>
      </c>
      <c r="B433" t="s">
        <v>854</v>
      </c>
      <c r="C433">
        <v>11</v>
      </c>
      <c r="D433" t="s">
        <v>18</v>
      </c>
      <c r="E433" s="2">
        <v>45458</v>
      </c>
      <c r="F433" s="2">
        <v>45460</v>
      </c>
      <c r="G433" t="s">
        <v>49</v>
      </c>
      <c r="H433" t="s">
        <v>123</v>
      </c>
      <c r="I433" s="3">
        <v>2103.42</v>
      </c>
      <c r="J433" t="s">
        <v>20</v>
      </c>
      <c r="K433" s="4">
        <v>0.6</v>
      </c>
      <c r="L433" s="3">
        <f t="shared" si="24"/>
        <v>1262.0519999999999</v>
      </c>
      <c r="M433" s="3">
        <f t="shared" si="25"/>
        <v>841.36800000000005</v>
      </c>
      <c r="N433">
        <f t="shared" si="26"/>
        <v>2</v>
      </c>
      <c r="O433" s="3">
        <f t="shared" si="27"/>
        <v>0</v>
      </c>
      <c r="P433" t="str" cm="1">
        <f t="array" ref="P433">_xlfn.IFS(C433&lt;18, "Under 18", C433&lt;36, "Btw 18&amp;35", C433&lt;51, "Btw 36&amp;50", C433&lt;66, "Btw 51&amp;65", C433&gt;=66," 66&amp;Above")</f>
        <v>Under 18</v>
      </c>
    </row>
    <row r="434" spans="1:16">
      <c r="A434" t="s">
        <v>855</v>
      </c>
      <c r="B434" t="s">
        <v>856</v>
      </c>
      <c r="C434">
        <v>41</v>
      </c>
      <c r="D434" t="s">
        <v>18</v>
      </c>
      <c r="E434" s="2">
        <v>45476</v>
      </c>
      <c r="F434" s="2">
        <v>45486</v>
      </c>
      <c r="G434" t="s">
        <v>60</v>
      </c>
      <c r="H434" t="s">
        <v>97</v>
      </c>
      <c r="I434" s="3">
        <v>20914.48</v>
      </c>
      <c r="J434" t="s">
        <v>20</v>
      </c>
      <c r="K434" s="4">
        <v>0.5</v>
      </c>
      <c r="L434" s="3">
        <f t="shared" si="24"/>
        <v>10457.24</v>
      </c>
      <c r="M434" s="3">
        <f t="shared" si="25"/>
        <v>10457.24</v>
      </c>
      <c r="N434">
        <f t="shared" si="26"/>
        <v>10</v>
      </c>
      <c r="O434" s="3">
        <f t="shared" si="27"/>
        <v>0</v>
      </c>
      <c r="P434" t="str" cm="1">
        <f t="array" ref="P434">_xlfn.IFS(C434&lt;18, "Under 18", C434&lt;36, "Btw 18&amp;35", C434&lt;51, "Btw 36&amp;50", C434&lt;66, "Btw 51&amp;65", C434&gt;=66," 66&amp;Above")</f>
        <v>Btw 36&amp;50</v>
      </c>
    </row>
    <row r="435" spans="1:16">
      <c r="A435" t="s">
        <v>857</v>
      </c>
      <c r="B435" t="s">
        <v>858</v>
      </c>
      <c r="C435">
        <v>57</v>
      </c>
      <c r="D435" t="s">
        <v>12</v>
      </c>
      <c r="E435" s="2">
        <v>45510</v>
      </c>
      <c r="F435" s="2">
        <v>45521</v>
      </c>
      <c r="G435" t="s">
        <v>60</v>
      </c>
      <c r="H435" t="s">
        <v>97</v>
      </c>
      <c r="I435" s="3">
        <v>16613.29</v>
      </c>
      <c r="J435" t="s">
        <v>25</v>
      </c>
      <c r="K435" s="4">
        <v>0.6</v>
      </c>
      <c r="L435" s="3">
        <f t="shared" si="24"/>
        <v>9967.9740000000002</v>
      </c>
      <c r="M435" s="3">
        <f t="shared" si="25"/>
        <v>6645.3160000000007</v>
      </c>
      <c r="N435">
        <f t="shared" si="26"/>
        <v>11</v>
      </c>
      <c r="O435" s="3">
        <f t="shared" si="27"/>
        <v>0</v>
      </c>
      <c r="P435" t="str" cm="1">
        <f t="array" ref="P435">_xlfn.IFS(C435&lt;18, "Under 18", C435&lt;36, "Btw 18&amp;35", C435&lt;51, "Btw 36&amp;50", C435&lt;66, "Btw 51&amp;65", C435&gt;=66," 66&amp;Above")</f>
        <v>Btw 51&amp;65</v>
      </c>
    </row>
    <row r="436" spans="1:16">
      <c r="A436" t="s">
        <v>859</v>
      </c>
      <c r="B436" t="s">
        <v>502</v>
      </c>
      <c r="C436">
        <v>62</v>
      </c>
      <c r="D436" t="s">
        <v>18</v>
      </c>
      <c r="E436" s="2">
        <v>45631</v>
      </c>
      <c r="F436" s="2">
        <v>45644</v>
      </c>
      <c r="G436" t="s">
        <v>60</v>
      </c>
      <c r="H436" t="s">
        <v>133</v>
      </c>
      <c r="I436" s="3">
        <v>23037.14</v>
      </c>
      <c r="J436" t="s">
        <v>15</v>
      </c>
      <c r="K436" s="4">
        <v>0.7</v>
      </c>
      <c r="L436" s="3">
        <f t="shared" si="24"/>
        <v>16125.997999999998</v>
      </c>
      <c r="M436" s="3">
        <f t="shared" si="25"/>
        <v>6911.1420000000007</v>
      </c>
      <c r="N436">
        <f t="shared" si="26"/>
        <v>13</v>
      </c>
      <c r="O436" s="3">
        <f t="shared" si="27"/>
        <v>23037.14</v>
      </c>
      <c r="P436" t="str" cm="1">
        <f t="array" ref="P436">_xlfn.IFS(C436&lt;18, "Under 18", C436&lt;36, "Btw 18&amp;35", C436&lt;51, "Btw 36&amp;50", C436&lt;66, "Btw 51&amp;65", C436&gt;=66," 66&amp;Above")</f>
        <v>Btw 51&amp;65</v>
      </c>
    </row>
    <row r="437" spans="1:16">
      <c r="A437" t="s">
        <v>860</v>
      </c>
      <c r="B437" t="s">
        <v>861</v>
      </c>
      <c r="C437">
        <v>23</v>
      </c>
      <c r="D437" t="s">
        <v>12</v>
      </c>
      <c r="E437" s="2">
        <v>45653</v>
      </c>
      <c r="F437" s="2">
        <v>45654</v>
      </c>
      <c r="G437" t="s">
        <v>31</v>
      </c>
      <c r="H437" t="s">
        <v>114</v>
      </c>
      <c r="I437" s="3">
        <v>618.74</v>
      </c>
      <c r="J437" t="s">
        <v>15</v>
      </c>
      <c r="K437" s="4">
        <v>0.8</v>
      </c>
      <c r="L437" s="3">
        <f t="shared" si="24"/>
        <v>494.99200000000002</v>
      </c>
      <c r="M437" s="3">
        <f t="shared" si="25"/>
        <v>123.74799999999998</v>
      </c>
      <c r="N437">
        <f t="shared" si="26"/>
        <v>1</v>
      </c>
      <c r="O437" s="3">
        <f t="shared" si="27"/>
        <v>618.74</v>
      </c>
      <c r="P437" t="str" cm="1">
        <f t="array" ref="P437">_xlfn.IFS(C437&lt;18, "Under 18", C437&lt;36, "Btw 18&amp;35", C437&lt;51, "Btw 36&amp;50", C437&lt;66, "Btw 51&amp;65", C437&gt;=66," 66&amp;Above")</f>
        <v>Btw 18&amp;35</v>
      </c>
    </row>
    <row r="438" spans="1:16">
      <c r="A438" t="s">
        <v>862</v>
      </c>
      <c r="B438" t="s">
        <v>863</v>
      </c>
      <c r="C438">
        <v>42</v>
      </c>
      <c r="D438" t="s">
        <v>12</v>
      </c>
      <c r="E438" s="2">
        <v>45952</v>
      </c>
      <c r="F438" s="2">
        <v>45955</v>
      </c>
      <c r="G438" t="s">
        <v>31</v>
      </c>
      <c r="H438" t="s">
        <v>35</v>
      </c>
      <c r="I438" s="3">
        <v>3292.07</v>
      </c>
      <c r="J438" t="s">
        <v>15</v>
      </c>
      <c r="K438" s="4">
        <v>0.5</v>
      </c>
      <c r="L438" s="3">
        <f t="shared" si="24"/>
        <v>1646.0350000000001</v>
      </c>
      <c r="M438" s="3">
        <f t="shared" si="25"/>
        <v>1646.0350000000001</v>
      </c>
      <c r="N438">
        <f t="shared" si="26"/>
        <v>3</v>
      </c>
      <c r="O438" s="3">
        <f t="shared" si="27"/>
        <v>3292.07</v>
      </c>
      <c r="P438" t="str" cm="1">
        <f t="array" ref="P438">_xlfn.IFS(C438&lt;18, "Under 18", C438&lt;36, "Btw 18&amp;35", C438&lt;51, "Btw 36&amp;50", C438&lt;66, "Btw 51&amp;65", C438&gt;=66," 66&amp;Above")</f>
        <v>Btw 36&amp;50</v>
      </c>
    </row>
    <row r="439" spans="1:16">
      <c r="A439" t="s">
        <v>864</v>
      </c>
      <c r="B439" t="s">
        <v>630</v>
      </c>
      <c r="C439">
        <v>48</v>
      </c>
      <c r="D439" t="s">
        <v>12</v>
      </c>
      <c r="E439" s="2">
        <v>45292</v>
      </c>
      <c r="F439" s="2">
        <v>45296</v>
      </c>
      <c r="G439" t="s">
        <v>31</v>
      </c>
      <c r="H439" t="s">
        <v>44</v>
      </c>
      <c r="I439" s="3">
        <v>5249.64</v>
      </c>
      <c r="J439" t="s">
        <v>15</v>
      </c>
      <c r="K439" s="4">
        <v>0.9</v>
      </c>
      <c r="L439" s="3">
        <f t="shared" si="24"/>
        <v>4724.6760000000004</v>
      </c>
      <c r="M439" s="3">
        <f t="shared" si="25"/>
        <v>524.96399999999994</v>
      </c>
      <c r="N439">
        <f t="shared" si="26"/>
        <v>4</v>
      </c>
      <c r="O439" s="3">
        <f t="shared" si="27"/>
        <v>5249.64</v>
      </c>
      <c r="P439" t="str" cm="1">
        <f t="array" ref="P439">_xlfn.IFS(C439&lt;18, "Under 18", C439&lt;36, "Btw 18&amp;35", C439&lt;51, "Btw 36&amp;50", C439&lt;66, "Btw 51&amp;65", C439&gt;=66," 66&amp;Above")</f>
        <v>Btw 36&amp;50</v>
      </c>
    </row>
    <row r="440" spans="1:16">
      <c r="A440" t="s">
        <v>865</v>
      </c>
      <c r="B440" t="s">
        <v>866</v>
      </c>
      <c r="C440">
        <v>71</v>
      </c>
      <c r="D440" t="s">
        <v>12</v>
      </c>
      <c r="E440" s="2">
        <v>45885</v>
      </c>
      <c r="F440" s="2">
        <v>45890</v>
      </c>
      <c r="G440" t="s">
        <v>60</v>
      </c>
      <c r="H440" t="s">
        <v>77</v>
      </c>
      <c r="I440" s="3">
        <v>5726.98</v>
      </c>
      <c r="J440" t="s">
        <v>15</v>
      </c>
      <c r="K440" s="4">
        <v>0.8</v>
      </c>
      <c r="L440" s="3">
        <f t="shared" si="24"/>
        <v>4581.5839999999998</v>
      </c>
      <c r="M440" s="3">
        <f t="shared" si="25"/>
        <v>1145.3959999999997</v>
      </c>
      <c r="N440">
        <f t="shared" si="26"/>
        <v>5</v>
      </c>
      <c r="O440" s="3">
        <f t="shared" si="27"/>
        <v>5726.98</v>
      </c>
      <c r="P440" t="str" cm="1">
        <f t="array" ref="P440">_xlfn.IFS(C440&lt;18, "Under 18", C440&lt;36, "Btw 18&amp;35", C440&lt;51, "Btw 36&amp;50", C440&lt;66, "Btw 51&amp;65", C440&gt;=66," 66&amp;Above")</f>
        <v xml:space="preserve"> 66&amp;Above</v>
      </c>
    </row>
    <row r="441" spans="1:16">
      <c r="A441" t="s">
        <v>867</v>
      </c>
      <c r="B441" t="s">
        <v>868</v>
      </c>
      <c r="C441">
        <v>16</v>
      </c>
      <c r="D441" t="s">
        <v>12</v>
      </c>
      <c r="E441" s="2">
        <v>45424</v>
      </c>
      <c r="F441" s="2">
        <v>45426</v>
      </c>
      <c r="G441" t="s">
        <v>49</v>
      </c>
      <c r="H441" t="s">
        <v>117</v>
      </c>
      <c r="I441" s="3">
        <v>3417.93</v>
      </c>
      <c r="J441" t="s">
        <v>15</v>
      </c>
      <c r="K441" s="4">
        <v>1</v>
      </c>
      <c r="L441" s="3">
        <f t="shared" si="24"/>
        <v>3417.93</v>
      </c>
      <c r="M441" s="3">
        <f t="shared" si="25"/>
        <v>0</v>
      </c>
      <c r="N441">
        <f t="shared" si="26"/>
        <v>2</v>
      </c>
      <c r="O441" s="3">
        <f t="shared" si="27"/>
        <v>3417.93</v>
      </c>
      <c r="P441" t="str" cm="1">
        <f t="array" ref="P441">_xlfn.IFS(C441&lt;18, "Under 18", C441&lt;36, "Btw 18&amp;35", C441&lt;51, "Btw 36&amp;50", C441&lt;66, "Btw 51&amp;65", C441&gt;=66," 66&amp;Above")</f>
        <v>Under 18</v>
      </c>
    </row>
    <row r="442" spans="1:16">
      <c r="A442" t="s">
        <v>869</v>
      </c>
      <c r="B442" t="s">
        <v>870</v>
      </c>
      <c r="C442">
        <v>73</v>
      </c>
      <c r="D442" t="s">
        <v>18</v>
      </c>
      <c r="E442" s="2">
        <v>45542</v>
      </c>
      <c r="F442" s="2">
        <v>45549</v>
      </c>
      <c r="G442" t="s">
        <v>31</v>
      </c>
      <c r="H442" t="s">
        <v>32</v>
      </c>
      <c r="I442" s="3">
        <v>4075.7</v>
      </c>
      <c r="J442" t="s">
        <v>15</v>
      </c>
      <c r="K442" s="4">
        <v>1</v>
      </c>
      <c r="L442" s="3">
        <f t="shared" si="24"/>
        <v>4075.7</v>
      </c>
      <c r="M442" s="3">
        <f t="shared" si="25"/>
        <v>0</v>
      </c>
      <c r="N442">
        <f t="shared" si="26"/>
        <v>7</v>
      </c>
      <c r="O442" s="3">
        <f t="shared" si="27"/>
        <v>4075.7</v>
      </c>
      <c r="P442" t="str" cm="1">
        <f t="array" ref="P442">_xlfn.IFS(C442&lt;18, "Under 18", C442&lt;36, "Btw 18&amp;35", C442&lt;51, "Btw 36&amp;50", C442&lt;66, "Btw 51&amp;65", C442&gt;=66," 66&amp;Above")</f>
        <v xml:space="preserve"> 66&amp;Above</v>
      </c>
    </row>
    <row r="443" spans="1:16">
      <c r="A443" t="s">
        <v>871</v>
      </c>
      <c r="B443" t="s">
        <v>872</v>
      </c>
      <c r="C443">
        <v>17</v>
      </c>
      <c r="D443" t="s">
        <v>12</v>
      </c>
      <c r="E443" s="2">
        <v>45707</v>
      </c>
      <c r="F443" s="2">
        <v>45709</v>
      </c>
      <c r="G443" t="s">
        <v>49</v>
      </c>
      <c r="H443" t="s">
        <v>117</v>
      </c>
      <c r="I443" s="3">
        <v>1245.26</v>
      </c>
      <c r="J443" t="s">
        <v>15</v>
      </c>
      <c r="K443" s="4">
        <v>1</v>
      </c>
      <c r="L443" s="3">
        <f t="shared" si="24"/>
        <v>1245.26</v>
      </c>
      <c r="M443" s="3">
        <f t="shared" si="25"/>
        <v>0</v>
      </c>
      <c r="N443">
        <f t="shared" si="26"/>
        <v>2</v>
      </c>
      <c r="O443" s="3">
        <f t="shared" si="27"/>
        <v>1245.26</v>
      </c>
      <c r="P443" t="str" cm="1">
        <f t="array" ref="P443">_xlfn.IFS(C443&lt;18, "Under 18", C443&lt;36, "Btw 18&amp;35", C443&lt;51, "Btw 36&amp;50", C443&lt;66, "Btw 51&amp;65", C443&gt;=66," 66&amp;Above")</f>
        <v>Under 18</v>
      </c>
    </row>
    <row r="444" spans="1:16">
      <c r="A444" t="s">
        <v>873</v>
      </c>
      <c r="B444" t="s">
        <v>874</v>
      </c>
      <c r="C444">
        <v>49</v>
      </c>
      <c r="D444" t="s">
        <v>12</v>
      </c>
      <c r="E444" s="2">
        <v>45904</v>
      </c>
      <c r="F444" s="2">
        <v>45905</v>
      </c>
      <c r="G444" t="s">
        <v>31</v>
      </c>
      <c r="H444" t="s">
        <v>87</v>
      </c>
      <c r="I444" s="3">
        <v>1338.57</v>
      </c>
      <c r="J444" t="s">
        <v>20</v>
      </c>
      <c r="K444" s="4">
        <v>1</v>
      </c>
      <c r="L444" s="3">
        <f t="shared" si="24"/>
        <v>1338.57</v>
      </c>
      <c r="M444" s="3">
        <f t="shared" si="25"/>
        <v>0</v>
      </c>
      <c r="N444">
        <f t="shared" si="26"/>
        <v>1</v>
      </c>
      <c r="O444" s="3">
        <f t="shared" si="27"/>
        <v>0</v>
      </c>
      <c r="P444" t="str" cm="1">
        <f t="array" ref="P444">_xlfn.IFS(C444&lt;18, "Under 18", C444&lt;36, "Btw 18&amp;35", C444&lt;51, "Btw 36&amp;50", C444&lt;66, "Btw 51&amp;65", C444&gt;=66," 66&amp;Above")</f>
        <v>Btw 36&amp;50</v>
      </c>
    </row>
    <row r="445" spans="1:16">
      <c r="A445" t="s">
        <v>875</v>
      </c>
      <c r="B445" t="s">
        <v>622</v>
      </c>
      <c r="C445">
        <v>41</v>
      </c>
      <c r="D445" t="s">
        <v>18</v>
      </c>
      <c r="E445" s="2">
        <v>45761</v>
      </c>
      <c r="F445" s="2">
        <v>45768</v>
      </c>
      <c r="G445" t="s">
        <v>70</v>
      </c>
      <c r="H445" t="s">
        <v>295</v>
      </c>
      <c r="I445" s="3">
        <v>11778.46</v>
      </c>
      <c r="J445" t="s">
        <v>25</v>
      </c>
      <c r="K445" s="4">
        <v>0.6</v>
      </c>
      <c r="L445" s="3">
        <f t="shared" si="24"/>
        <v>7067.0759999999991</v>
      </c>
      <c r="M445" s="3">
        <f t="shared" si="25"/>
        <v>4711.384</v>
      </c>
      <c r="N445">
        <f t="shared" si="26"/>
        <v>7</v>
      </c>
      <c r="O445" s="3">
        <f t="shared" si="27"/>
        <v>0</v>
      </c>
      <c r="P445" t="str" cm="1">
        <f t="array" ref="P445">_xlfn.IFS(C445&lt;18, "Under 18", C445&lt;36, "Btw 18&amp;35", C445&lt;51, "Btw 36&amp;50", C445&lt;66, "Btw 51&amp;65", C445&gt;=66," 66&amp;Above")</f>
        <v>Btw 36&amp;50</v>
      </c>
    </row>
    <row r="446" spans="1:16">
      <c r="A446" t="s">
        <v>876</v>
      </c>
      <c r="B446" t="s">
        <v>877</v>
      </c>
      <c r="C446">
        <v>65</v>
      </c>
      <c r="D446" t="s">
        <v>12</v>
      </c>
      <c r="E446" s="2">
        <v>45675</v>
      </c>
      <c r="F446" s="2">
        <v>45678</v>
      </c>
      <c r="G446" t="s">
        <v>13</v>
      </c>
      <c r="H446" t="s">
        <v>165</v>
      </c>
      <c r="I446" s="3">
        <v>6875.63</v>
      </c>
      <c r="J446" t="s">
        <v>20</v>
      </c>
      <c r="K446" s="4">
        <v>0.7</v>
      </c>
      <c r="L446" s="3">
        <f t="shared" si="24"/>
        <v>4812.9409999999998</v>
      </c>
      <c r="M446" s="3">
        <f t="shared" si="25"/>
        <v>2062.6890000000003</v>
      </c>
      <c r="N446">
        <f t="shared" si="26"/>
        <v>3</v>
      </c>
      <c r="O446" s="3">
        <f t="shared" si="27"/>
        <v>0</v>
      </c>
      <c r="P446" t="str" cm="1">
        <f t="array" ref="P446">_xlfn.IFS(C446&lt;18, "Under 18", C446&lt;36, "Btw 18&amp;35", C446&lt;51, "Btw 36&amp;50", C446&lt;66, "Btw 51&amp;65", C446&gt;=66," 66&amp;Above")</f>
        <v>Btw 51&amp;65</v>
      </c>
    </row>
    <row r="447" spans="1:16">
      <c r="A447" t="s">
        <v>878</v>
      </c>
      <c r="B447" t="s">
        <v>879</v>
      </c>
      <c r="C447">
        <v>36</v>
      </c>
      <c r="D447" t="s">
        <v>12</v>
      </c>
      <c r="E447" s="2">
        <v>45833</v>
      </c>
      <c r="F447" s="2">
        <v>45838</v>
      </c>
      <c r="G447" t="s">
        <v>31</v>
      </c>
      <c r="H447" t="s">
        <v>87</v>
      </c>
      <c r="I447" s="3">
        <v>4520</v>
      </c>
      <c r="J447" t="s">
        <v>15</v>
      </c>
      <c r="K447" s="4">
        <v>0.9</v>
      </c>
      <c r="L447" s="3">
        <f t="shared" si="24"/>
        <v>4068</v>
      </c>
      <c r="M447" s="3">
        <f t="shared" si="25"/>
        <v>451.99999999999989</v>
      </c>
      <c r="N447">
        <f t="shared" si="26"/>
        <v>5</v>
      </c>
      <c r="O447" s="3">
        <f t="shared" si="27"/>
        <v>4520</v>
      </c>
      <c r="P447" t="str" cm="1">
        <f t="array" ref="P447">_xlfn.IFS(C447&lt;18, "Under 18", C447&lt;36, "Btw 18&amp;35", C447&lt;51, "Btw 36&amp;50", C447&lt;66, "Btw 51&amp;65", C447&gt;=66," 66&amp;Above")</f>
        <v>Btw 36&amp;50</v>
      </c>
    </row>
    <row r="448" spans="1:16">
      <c r="A448" t="s">
        <v>880</v>
      </c>
      <c r="B448" t="s">
        <v>881</v>
      </c>
      <c r="C448">
        <v>47</v>
      </c>
      <c r="D448" t="s">
        <v>12</v>
      </c>
      <c r="E448" s="2">
        <v>45296</v>
      </c>
      <c r="F448" s="2">
        <v>45307</v>
      </c>
      <c r="G448" t="s">
        <v>60</v>
      </c>
      <c r="H448" t="s">
        <v>74</v>
      </c>
      <c r="I448" s="3">
        <v>11719.07</v>
      </c>
      <c r="J448" t="s">
        <v>15</v>
      </c>
      <c r="K448" s="4">
        <v>0.8</v>
      </c>
      <c r="L448" s="3">
        <f t="shared" si="24"/>
        <v>9375.2559999999994</v>
      </c>
      <c r="M448" s="3">
        <f t="shared" si="25"/>
        <v>2343.8139999999994</v>
      </c>
      <c r="N448">
        <f t="shared" si="26"/>
        <v>11</v>
      </c>
      <c r="O448" s="3">
        <f t="shared" si="27"/>
        <v>11719.07</v>
      </c>
      <c r="P448" t="str" cm="1">
        <f t="array" ref="P448">_xlfn.IFS(C448&lt;18, "Under 18", C448&lt;36, "Btw 18&amp;35", C448&lt;51, "Btw 36&amp;50", C448&lt;66, "Btw 51&amp;65", C448&gt;=66," 66&amp;Above")</f>
        <v>Btw 36&amp;50</v>
      </c>
    </row>
    <row r="449" spans="1:16">
      <c r="A449" t="s">
        <v>882</v>
      </c>
      <c r="B449" t="s">
        <v>883</v>
      </c>
      <c r="C449">
        <v>74</v>
      </c>
      <c r="D449" t="s">
        <v>18</v>
      </c>
      <c r="E449" s="2">
        <v>45846</v>
      </c>
      <c r="F449" s="2">
        <v>45857</v>
      </c>
      <c r="G449" t="s">
        <v>70</v>
      </c>
      <c r="H449" t="s">
        <v>237</v>
      </c>
      <c r="I449" s="3">
        <v>13712.17</v>
      </c>
      <c r="J449" t="s">
        <v>15</v>
      </c>
      <c r="K449" s="4">
        <v>0.8</v>
      </c>
      <c r="L449" s="3">
        <f t="shared" si="24"/>
        <v>10969.736000000001</v>
      </c>
      <c r="M449" s="3">
        <f t="shared" si="25"/>
        <v>2742.4339999999993</v>
      </c>
      <c r="N449">
        <f t="shared" si="26"/>
        <v>11</v>
      </c>
      <c r="O449" s="3">
        <f t="shared" si="27"/>
        <v>13712.17</v>
      </c>
      <c r="P449" t="str" cm="1">
        <f t="array" ref="P449">_xlfn.IFS(C449&lt;18, "Under 18", C449&lt;36, "Btw 18&amp;35", C449&lt;51, "Btw 36&amp;50", C449&lt;66, "Btw 51&amp;65", C449&gt;=66," 66&amp;Above")</f>
        <v xml:space="preserve"> 66&amp;Above</v>
      </c>
    </row>
    <row r="450" spans="1:16">
      <c r="A450" t="s">
        <v>884</v>
      </c>
      <c r="B450" t="s">
        <v>290</v>
      </c>
      <c r="C450">
        <v>73</v>
      </c>
      <c r="D450" t="s">
        <v>12</v>
      </c>
      <c r="E450" s="2">
        <v>45540</v>
      </c>
      <c r="F450" s="2">
        <v>45541</v>
      </c>
      <c r="G450" t="s">
        <v>23</v>
      </c>
      <c r="H450" t="s">
        <v>204</v>
      </c>
      <c r="I450" s="3">
        <v>2492.86</v>
      </c>
      <c r="J450" t="s">
        <v>15</v>
      </c>
      <c r="K450" s="4">
        <v>1</v>
      </c>
      <c r="L450" s="3">
        <f t="shared" si="24"/>
        <v>2492.86</v>
      </c>
      <c r="M450" s="3">
        <f t="shared" si="25"/>
        <v>0</v>
      </c>
      <c r="N450">
        <f t="shared" si="26"/>
        <v>1</v>
      </c>
      <c r="O450" s="3">
        <f t="shared" si="27"/>
        <v>2492.86</v>
      </c>
      <c r="P450" t="str" cm="1">
        <f t="array" ref="P450">_xlfn.IFS(C450&lt;18, "Under 18", C450&lt;36, "Btw 18&amp;35", C450&lt;51, "Btw 36&amp;50", C450&lt;66, "Btw 51&amp;65", C450&gt;=66," 66&amp;Above")</f>
        <v xml:space="preserve"> 66&amp;Above</v>
      </c>
    </row>
    <row r="451" spans="1:16">
      <c r="A451" t="s">
        <v>885</v>
      </c>
      <c r="B451" t="s">
        <v>233</v>
      </c>
      <c r="C451">
        <v>19</v>
      </c>
      <c r="D451" t="s">
        <v>12</v>
      </c>
      <c r="E451" s="2">
        <v>45832</v>
      </c>
      <c r="F451" s="2">
        <v>45833</v>
      </c>
      <c r="G451" t="s">
        <v>23</v>
      </c>
      <c r="H451" t="s">
        <v>28</v>
      </c>
      <c r="I451" s="3">
        <v>1867.11</v>
      </c>
      <c r="J451" t="s">
        <v>15</v>
      </c>
      <c r="K451" s="4">
        <v>0.8</v>
      </c>
      <c r="L451" s="3">
        <f t="shared" ref="L451:L514" si="28">I451*K451</f>
        <v>1493.6880000000001</v>
      </c>
      <c r="M451" s="3">
        <f t="shared" ref="M451:M514" si="29">(100%-K451)*I451</f>
        <v>373.42199999999991</v>
      </c>
      <c r="N451">
        <f t="shared" ref="N451:N514" si="30">_xlfn.DAYS(F451,E451)</f>
        <v>1</v>
      </c>
      <c r="O451" s="3">
        <f t="shared" ref="O451:O514" si="31">IF(J451="Paid", I451, 0)</f>
        <v>1867.11</v>
      </c>
      <c r="P451" t="str" cm="1">
        <f t="array" ref="P451">_xlfn.IFS(C451&lt;18, "Under 18", C451&lt;36, "Btw 18&amp;35", C451&lt;51, "Btw 36&amp;50", C451&lt;66, "Btw 51&amp;65", C451&gt;=66," 66&amp;Above")</f>
        <v>Btw 18&amp;35</v>
      </c>
    </row>
    <row r="452" spans="1:16">
      <c r="A452" t="s">
        <v>886</v>
      </c>
      <c r="B452" t="s">
        <v>592</v>
      </c>
      <c r="C452">
        <v>68</v>
      </c>
      <c r="D452" t="s">
        <v>12</v>
      </c>
      <c r="E452" s="2">
        <v>45482</v>
      </c>
      <c r="F452" s="2">
        <v>45489</v>
      </c>
      <c r="G452" t="s">
        <v>13</v>
      </c>
      <c r="H452" t="s">
        <v>14</v>
      </c>
      <c r="I452" s="3">
        <v>9821.73</v>
      </c>
      <c r="J452" t="s">
        <v>15</v>
      </c>
      <c r="K452" s="4">
        <v>0.8</v>
      </c>
      <c r="L452" s="3">
        <f t="shared" si="28"/>
        <v>7857.384</v>
      </c>
      <c r="M452" s="3">
        <f t="shared" si="29"/>
        <v>1964.3459999999995</v>
      </c>
      <c r="N452">
        <f t="shared" si="30"/>
        <v>7</v>
      </c>
      <c r="O452" s="3">
        <f t="shared" si="31"/>
        <v>9821.73</v>
      </c>
      <c r="P452" t="str" cm="1">
        <f t="array" ref="P452">_xlfn.IFS(C452&lt;18, "Under 18", C452&lt;36, "Btw 18&amp;35", C452&lt;51, "Btw 36&amp;50", C452&lt;66, "Btw 51&amp;65", C452&gt;=66," 66&amp;Above")</f>
        <v xml:space="preserve"> 66&amp;Above</v>
      </c>
    </row>
    <row r="453" spans="1:16">
      <c r="A453" t="s">
        <v>887</v>
      </c>
      <c r="B453" t="s">
        <v>888</v>
      </c>
      <c r="C453">
        <v>46</v>
      </c>
      <c r="D453" t="s">
        <v>18</v>
      </c>
      <c r="E453" s="2">
        <v>45382</v>
      </c>
      <c r="F453" s="2">
        <v>45389</v>
      </c>
      <c r="G453" t="s">
        <v>70</v>
      </c>
      <c r="H453" t="s">
        <v>71</v>
      </c>
      <c r="I453" s="3">
        <v>9183.36</v>
      </c>
      <c r="J453" t="s">
        <v>20</v>
      </c>
      <c r="K453" s="4">
        <v>0</v>
      </c>
      <c r="L453" s="3">
        <f t="shared" si="28"/>
        <v>0</v>
      </c>
      <c r="M453" s="3">
        <f t="shared" si="29"/>
        <v>9183.36</v>
      </c>
      <c r="N453">
        <f t="shared" si="30"/>
        <v>7</v>
      </c>
      <c r="O453" s="3">
        <f t="shared" si="31"/>
        <v>0</v>
      </c>
      <c r="P453" t="str" cm="1">
        <f t="array" ref="P453">_xlfn.IFS(C453&lt;18, "Under 18", C453&lt;36, "Btw 18&amp;35", C453&lt;51, "Btw 36&amp;50", C453&lt;66, "Btw 51&amp;65", C453&gt;=66," 66&amp;Above")</f>
        <v>Btw 36&amp;50</v>
      </c>
    </row>
    <row r="454" spans="1:16">
      <c r="A454" t="s">
        <v>889</v>
      </c>
      <c r="B454" t="s">
        <v>890</v>
      </c>
      <c r="C454">
        <v>59</v>
      </c>
      <c r="D454" t="s">
        <v>12</v>
      </c>
      <c r="E454" s="2">
        <v>45680</v>
      </c>
      <c r="F454" s="2">
        <v>45682</v>
      </c>
      <c r="G454" t="s">
        <v>31</v>
      </c>
      <c r="H454" t="s">
        <v>87</v>
      </c>
      <c r="I454" s="3">
        <v>1293.94</v>
      </c>
      <c r="J454" t="s">
        <v>15</v>
      </c>
      <c r="K454" s="4">
        <v>1</v>
      </c>
      <c r="L454" s="3">
        <f t="shared" si="28"/>
        <v>1293.94</v>
      </c>
      <c r="M454" s="3">
        <f t="shared" si="29"/>
        <v>0</v>
      </c>
      <c r="N454">
        <f t="shared" si="30"/>
        <v>2</v>
      </c>
      <c r="O454" s="3">
        <f t="shared" si="31"/>
        <v>1293.94</v>
      </c>
      <c r="P454" t="str" cm="1">
        <f t="array" ref="P454">_xlfn.IFS(C454&lt;18, "Under 18", C454&lt;36, "Btw 18&amp;35", C454&lt;51, "Btw 36&amp;50", C454&lt;66, "Btw 51&amp;65", C454&gt;=66," 66&amp;Above")</f>
        <v>Btw 51&amp;65</v>
      </c>
    </row>
    <row r="455" spans="1:16">
      <c r="A455" t="s">
        <v>891</v>
      </c>
      <c r="B455" t="s">
        <v>529</v>
      </c>
      <c r="C455">
        <v>48</v>
      </c>
      <c r="D455" t="s">
        <v>18</v>
      </c>
      <c r="E455" s="2">
        <v>45586</v>
      </c>
      <c r="F455" s="2">
        <v>45595</v>
      </c>
      <c r="G455" t="s">
        <v>13</v>
      </c>
      <c r="H455" t="s">
        <v>165</v>
      </c>
      <c r="I455" s="3">
        <v>23400.73</v>
      </c>
      <c r="J455" t="s">
        <v>15</v>
      </c>
      <c r="K455" s="4">
        <v>1</v>
      </c>
      <c r="L455" s="3">
        <f t="shared" si="28"/>
        <v>23400.73</v>
      </c>
      <c r="M455" s="3">
        <f t="shared" si="29"/>
        <v>0</v>
      </c>
      <c r="N455">
        <f t="shared" si="30"/>
        <v>9</v>
      </c>
      <c r="O455" s="3">
        <f t="shared" si="31"/>
        <v>23400.73</v>
      </c>
      <c r="P455" t="str" cm="1">
        <f t="array" ref="P455">_xlfn.IFS(C455&lt;18, "Under 18", C455&lt;36, "Btw 18&amp;35", C455&lt;51, "Btw 36&amp;50", C455&lt;66, "Btw 51&amp;65", C455&gt;=66," 66&amp;Above")</f>
        <v>Btw 36&amp;50</v>
      </c>
    </row>
    <row r="456" spans="1:16">
      <c r="A456" t="s">
        <v>892</v>
      </c>
      <c r="B456" t="s">
        <v>893</v>
      </c>
      <c r="C456">
        <v>68</v>
      </c>
      <c r="D456" t="s">
        <v>18</v>
      </c>
      <c r="E456" s="2">
        <v>45966</v>
      </c>
      <c r="F456" s="2">
        <v>45971</v>
      </c>
      <c r="G456" t="s">
        <v>31</v>
      </c>
      <c r="H456" t="s">
        <v>32</v>
      </c>
      <c r="I456" s="3">
        <v>5575.83</v>
      </c>
      <c r="J456" t="s">
        <v>15</v>
      </c>
      <c r="K456" s="4">
        <v>0.7</v>
      </c>
      <c r="L456" s="3">
        <f t="shared" si="28"/>
        <v>3903.0809999999997</v>
      </c>
      <c r="M456" s="3">
        <f t="shared" si="29"/>
        <v>1672.7490000000003</v>
      </c>
      <c r="N456">
        <f t="shared" si="30"/>
        <v>5</v>
      </c>
      <c r="O456" s="3">
        <f t="shared" si="31"/>
        <v>5575.83</v>
      </c>
      <c r="P456" t="str" cm="1">
        <f t="array" ref="P456">_xlfn.IFS(C456&lt;18, "Under 18", C456&lt;36, "Btw 18&amp;35", C456&lt;51, "Btw 36&amp;50", C456&lt;66, "Btw 51&amp;65", C456&gt;=66," 66&amp;Above")</f>
        <v xml:space="preserve"> 66&amp;Above</v>
      </c>
    </row>
    <row r="457" spans="1:16">
      <c r="A457" t="s">
        <v>894</v>
      </c>
      <c r="B457" t="s">
        <v>895</v>
      </c>
      <c r="C457">
        <v>22</v>
      </c>
      <c r="D457" t="s">
        <v>18</v>
      </c>
      <c r="E457" s="2">
        <v>45398</v>
      </c>
      <c r="F457" s="2">
        <v>45399</v>
      </c>
      <c r="G457" t="s">
        <v>31</v>
      </c>
      <c r="H457" t="s">
        <v>35</v>
      </c>
      <c r="I457" s="3">
        <v>711.37</v>
      </c>
      <c r="J457" t="s">
        <v>20</v>
      </c>
      <c r="K457" s="4">
        <v>0.9</v>
      </c>
      <c r="L457" s="3">
        <f t="shared" si="28"/>
        <v>640.23300000000006</v>
      </c>
      <c r="M457" s="3">
        <f t="shared" si="29"/>
        <v>71.136999999999986</v>
      </c>
      <c r="N457">
        <f t="shared" si="30"/>
        <v>1</v>
      </c>
      <c r="O457" s="3">
        <f t="shared" si="31"/>
        <v>0</v>
      </c>
      <c r="P457" t="str" cm="1">
        <f t="array" ref="P457">_xlfn.IFS(C457&lt;18, "Under 18", C457&lt;36, "Btw 18&amp;35", C457&lt;51, "Btw 36&amp;50", C457&lt;66, "Btw 51&amp;65", C457&gt;=66," 66&amp;Above")</f>
        <v>Btw 18&amp;35</v>
      </c>
    </row>
    <row r="458" spans="1:16">
      <c r="A458" t="s">
        <v>896</v>
      </c>
      <c r="B458" t="s">
        <v>897</v>
      </c>
      <c r="C458">
        <v>55</v>
      </c>
      <c r="D458" t="s">
        <v>12</v>
      </c>
      <c r="E458" s="2">
        <v>46014</v>
      </c>
      <c r="F458" s="2">
        <v>46017</v>
      </c>
      <c r="G458" t="s">
        <v>23</v>
      </c>
      <c r="H458" t="s">
        <v>221</v>
      </c>
      <c r="I458" s="3">
        <v>3304.36</v>
      </c>
      <c r="J458" t="s">
        <v>15</v>
      </c>
      <c r="K458" s="4">
        <v>0.6</v>
      </c>
      <c r="L458" s="3">
        <f t="shared" si="28"/>
        <v>1982.616</v>
      </c>
      <c r="M458" s="3">
        <f t="shared" si="29"/>
        <v>1321.7440000000001</v>
      </c>
      <c r="N458">
        <f t="shared" si="30"/>
        <v>3</v>
      </c>
      <c r="O458" s="3">
        <f t="shared" si="31"/>
        <v>3304.36</v>
      </c>
      <c r="P458" t="str" cm="1">
        <f t="array" ref="P458">_xlfn.IFS(C458&lt;18, "Under 18", C458&lt;36, "Btw 18&amp;35", C458&lt;51, "Btw 36&amp;50", C458&lt;66, "Btw 51&amp;65", C458&gt;=66," 66&amp;Above")</f>
        <v>Btw 51&amp;65</v>
      </c>
    </row>
    <row r="459" spans="1:16">
      <c r="A459" t="s">
        <v>898</v>
      </c>
      <c r="B459" t="s">
        <v>839</v>
      </c>
      <c r="C459">
        <v>48</v>
      </c>
      <c r="D459" t="s">
        <v>12</v>
      </c>
      <c r="E459" s="2">
        <v>45354</v>
      </c>
      <c r="F459" s="2">
        <v>45362</v>
      </c>
      <c r="G459" t="s">
        <v>70</v>
      </c>
      <c r="H459" t="s">
        <v>237</v>
      </c>
      <c r="I459" s="3">
        <v>18171.34</v>
      </c>
      <c r="J459" t="s">
        <v>25</v>
      </c>
      <c r="K459" s="4">
        <v>0.7</v>
      </c>
      <c r="L459" s="3">
        <f t="shared" si="28"/>
        <v>12719.938</v>
      </c>
      <c r="M459" s="3">
        <f t="shared" si="29"/>
        <v>5451.402000000001</v>
      </c>
      <c r="N459">
        <f t="shared" si="30"/>
        <v>8</v>
      </c>
      <c r="O459" s="3">
        <f t="shared" si="31"/>
        <v>0</v>
      </c>
      <c r="P459" t="str" cm="1">
        <f t="array" ref="P459">_xlfn.IFS(C459&lt;18, "Under 18", C459&lt;36, "Btw 18&amp;35", C459&lt;51, "Btw 36&amp;50", C459&lt;66, "Btw 51&amp;65", C459&gt;=66," 66&amp;Above")</f>
        <v>Btw 36&amp;50</v>
      </c>
    </row>
    <row r="460" spans="1:16">
      <c r="A460" t="s">
        <v>899</v>
      </c>
      <c r="B460" t="s">
        <v>408</v>
      </c>
      <c r="C460">
        <v>49</v>
      </c>
      <c r="D460" t="s">
        <v>18</v>
      </c>
      <c r="E460" s="2">
        <v>45470</v>
      </c>
      <c r="F460" s="2">
        <v>45482</v>
      </c>
      <c r="G460" t="s">
        <v>60</v>
      </c>
      <c r="H460" t="s">
        <v>142</v>
      </c>
      <c r="I460" s="3">
        <v>32666.57</v>
      </c>
      <c r="J460" t="s">
        <v>25</v>
      </c>
      <c r="K460" s="4">
        <v>0.8</v>
      </c>
      <c r="L460" s="3">
        <f t="shared" si="28"/>
        <v>26133.256000000001</v>
      </c>
      <c r="M460" s="3">
        <f t="shared" si="29"/>
        <v>6533.3139999999985</v>
      </c>
      <c r="N460">
        <f t="shared" si="30"/>
        <v>12</v>
      </c>
      <c r="O460" s="3">
        <f t="shared" si="31"/>
        <v>0</v>
      </c>
      <c r="P460" t="str" cm="1">
        <f t="array" ref="P460">_xlfn.IFS(C460&lt;18, "Under 18", C460&lt;36, "Btw 18&amp;35", C460&lt;51, "Btw 36&amp;50", C460&lt;66, "Btw 51&amp;65", C460&gt;=66," 66&amp;Above")</f>
        <v>Btw 36&amp;50</v>
      </c>
    </row>
    <row r="461" spans="1:16">
      <c r="A461" t="s">
        <v>900</v>
      </c>
      <c r="B461" t="s">
        <v>602</v>
      </c>
      <c r="C461">
        <v>57</v>
      </c>
      <c r="D461" t="s">
        <v>12</v>
      </c>
      <c r="E461" s="2">
        <v>45350</v>
      </c>
      <c r="F461" s="2">
        <v>45356</v>
      </c>
      <c r="G461" t="s">
        <v>31</v>
      </c>
      <c r="H461" t="s">
        <v>35</v>
      </c>
      <c r="I461" s="3">
        <v>8770.94</v>
      </c>
      <c r="J461" t="s">
        <v>15</v>
      </c>
      <c r="K461" s="4">
        <v>0.8</v>
      </c>
      <c r="L461" s="3">
        <f t="shared" si="28"/>
        <v>7016.7520000000004</v>
      </c>
      <c r="M461" s="3">
        <f t="shared" si="29"/>
        <v>1754.1879999999996</v>
      </c>
      <c r="N461">
        <f t="shared" si="30"/>
        <v>6</v>
      </c>
      <c r="O461" s="3">
        <f t="shared" si="31"/>
        <v>8770.94</v>
      </c>
      <c r="P461" t="str" cm="1">
        <f t="array" ref="P461">_xlfn.IFS(C461&lt;18, "Under 18", C461&lt;36, "Btw 18&amp;35", C461&lt;51, "Btw 36&amp;50", C461&lt;66, "Btw 51&amp;65", C461&gt;=66," 66&amp;Above")</f>
        <v>Btw 51&amp;65</v>
      </c>
    </row>
    <row r="462" spans="1:16">
      <c r="A462" t="s">
        <v>901</v>
      </c>
      <c r="B462" t="s">
        <v>902</v>
      </c>
      <c r="C462">
        <v>37</v>
      </c>
      <c r="D462" t="s">
        <v>12</v>
      </c>
      <c r="E462" s="2">
        <v>45721</v>
      </c>
      <c r="F462" s="2">
        <v>45724</v>
      </c>
      <c r="G462" t="s">
        <v>70</v>
      </c>
      <c r="H462" t="s">
        <v>194</v>
      </c>
      <c r="I462" s="3">
        <v>5722.85</v>
      </c>
      <c r="J462" t="s">
        <v>25</v>
      </c>
      <c r="K462" s="4">
        <v>0.7</v>
      </c>
      <c r="L462" s="3">
        <f t="shared" si="28"/>
        <v>4005.9949999999999</v>
      </c>
      <c r="M462" s="3">
        <f t="shared" si="29"/>
        <v>1716.8550000000005</v>
      </c>
      <c r="N462">
        <f t="shared" si="30"/>
        <v>3</v>
      </c>
      <c r="O462" s="3">
        <f t="shared" si="31"/>
        <v>0</v>
      </c>
      <c r="P462" t="str" cm="1">
        <f t="array" ref="P462">_xlfn.IFS(C462&lt;18, "Under 18", C462&lt;36, "Btw 18&amp;35", C462&lt;51, "Btw 36&amp;50", C462&lt;66, "Btw 51&amp;65", C462&gt;=66," 66&amp;Above")</f>
        <v>Btw 36&amp;50</v>
      </c>
    </row>
    <row r="463" spans="1:16">
      <c r="A463" t="s">
        <v>903</v>
      </c>
      <c r="B463" t="s">
        <v>904</v>
      </c>
      <c r="C463">
        <v>73</v>
      </c>
      <c r="D463" t="s">
        <v>18</v>
      </c>
      <c r="E463" s="2">
        <v>45599</v>
      </c>
      <c r="F463" s="2">
        <v>45600</v>
      </c>
      <c r="G463" t="s">
        <v>23</v>
      </c>
      <c r="H463" t="s">
        <v>333</v>
      </c>
      <c r="I463" s="3">
        <v>1228.01</v>
      </c>
      <c r="J463" t="s">
        <v>15</v>
      </c>
      <c r="K463" s="4">
        <v>0.9</v>
      </c>
      <c r="L463" s="3">
        <f t="shared" si="28"/>
        <v>1105.2090000000001</v>
      </c>
      <c r="M463" s="3">
        <f t="shared" si="29"/>
        <v>122.80099999999997</v>
      </c>
      <c r="N463">
        <f t="shared" si="30"/>
        <v>1</v>
      </c>
      <c r="O463" s="3">
        <f t="shared" si="31"/>
        <v>1228.01</v>
      </c>
      <c r="P463" t="str" cm="1">
        <f t="array" ref="P463">_xlfn.IFS(C463&lt;18, "Under 18", C463&lt;36, "Btw 18&amp;35", C463&lt;51, "Btw 36&amp;50", C463&lt;66, "Btw 51&amp;65", C463&gt;=66," 66&amp;Above")</f>
        <v xml:space="preserve"> 66&amp;Above</v>
      </c>
    </row>
    <row r="464" spans="1:16">
      <c r="A464" t="s">
        <v>905</v>
      </c>
      <c r="B464" t="s">
        <v>906</v>
      </c>
      <c r="C464">
        <v>78</v>
      </c>
      <c r="D464" t="s">
        <v>18</v>
      </c>
      <c r="E464" s="2">
        <v>45606</v>
      </c>
      <c r="F464" s="2">
        <v>45613</v>
      </c>
      <c r="G464" t="s">
        <v>31</v>
      </c>
      <c r="H464" t="s">
        <v>44</v>
      </c>
      <c r="I464" s="3">
        <v>8155.8</v>
      </c>
      <c r="J464" t="s">
        <v>15</v>
      </c>
      <c r="K464" s="4">
        <v>0.8</v>
      </c>
      <c r="L464" s="3">
        <f t="shared" si="28"/>
        <v>6524.64</v>
      </c>
      <c r="M464" s="3">
        <f t="shared" si="29"/>
        <v>1631.1599999999996</v>
      </c>
      <c r="N464">
        <f t="shared" si="30"/>
        <v>7</v>
      </c>
      <c r="O464" s="3">
        <f t="shared" si="31"/>
        <v>8155.8</v>
      </c>
      <c r="P464" t="str" cm="1">
        <f t="array" ref="P464">_xlfn.IFS(C464&lt;18, "Under 18", C464&lt;36, "Btw 18&amp;35", C464&lt;51, "Btw 36&amp;50", C464&lt;66, "Btw 51&amp;65", C464&gt;=66," 66&amp;Above")</f>
        <v xml:space="preserve"> 66&amp;Above</v>
      </c>
    </row>
    <row r="465" spans="1:16">
      <c r="A465" t="s">
        <v>907</v>
      </c>
      <c r="B465" t="s">
        <v>908</v>
      </c>
      <c r="C465">
        <v>75</v>
      </c>
      <c r="D465" t="s">
        <v>18</v>
      </c>
      <c r="E465" s="2">
        <v>45431</v>
      </c>
      <c r="F465" s="2">
        <v>45442</v>
      </c>
      <c r="G465" t="s">
        <v>60</v>
      </c>
      <c r="H465" t="s">
        <v>142</v>
      </c>
      <c r="I465" s="3">
        <v>21834.98</v>
      </c>
      <c r="J465" t="s">
        <v>15</v>
      </c>
      <c r="K465" s="4">
        <v>0.8</v>
      </c>
      <c r="L465" s="3">
        <f t="shared" si="28"/>
        <v>17467.984</v>
      </c>
      <c r="M465" s="3">
        <f t="shared" si="29"/>
        <v>4366.9959999999992</v>
      </c>
      <c r="N465">
        <f t="shared" si="30"/>
        <v>11</v>
      </c>
      <c r="O465" s="3">
        <f t="shared" si="31"/>
        <v>21834.98</v>
      </c>
      <c r="P465" t="str" cm="1">
        <f t="array" ref="P465">_xlfn.IFS(C465&lt;18, "Under 18", C465&lt;36, "Btw 18&amp;35", C465&lt;51, "Btw 36&amp;50", C465&lt;66, "Btw 51&amp;65", C465&gt;=66," 66&amp;Above")</f>
        <v xml:space="preserve"> 66&amp;Above</v>
      </c>
    </row>
    <row r="466" spans="1:16">
      <c r="A466" t="s">
        <v>909</v>
      </c>
      <c r="B466" t="s">
        <v>802</v>
      </c>
      <c r="C466">
        <v>51</v>
      </c>
      <c r="D466" t="s">
        <v>18</v>
      </c>
      <c r="E466" s="2">
        <v>46004</v>
      </c>
      <c r="F466" s="2">
        <v>46013</v>
      </c>
      <c r="G466" t="s">
        <v>60</v>
      </c>
      <c r="H466" t="s">
        <v>97</v>
      </c>
      <c r="I466" s="3">
        <v>24478.42</v>
      </c>
      <c r="J466" t="s">
        <v>20</v>
      </c>
      <c r="K466" s="4">
        <v>0.7</v>
      </c>
      <c r="L466" s="3">
        <f t="shared" si="28"/>
        <v>17134.893999999997</v>
      </c>
      <c r="M466" s="3">
        <f t="shared" si="29"/>
        <v>7343.5260000000007</v>
      </c>
      <c r="N466">
        <f t="shared" si="30"/>
        <v>9</v>
      </c>
      <c r="O466" s="3">
        <f t="shared" si="31"/>
        <v>0</v>
      </c>
      <c r="P466" t="str" cm="1">
        <f t="array" ref="P466">_xlfn.IFS(C466&lt;18, "Under 18", C466&lt;36, "Btw 18&amp;35", C466&lt;51, "Btw 36&amp;50", C466&lt;66, "Btw 51&amp;65", C466&gt;=66," 66&amp;Above")</f>
        <v>Btw 51&amp;65</v>
      </c>
    </row>
    <row r="467" spans="1:16">
      <c r="A467" t="s">
        <v>910</v>
      </c>
      <c r="B467" t="s">
        <v>911</v>
      </c>
      <c r="C467">
        <v>24</v>
      </c>
      <c r="D467" t="s">
        <v>12</v>
      </c>
      <c r="E467" s="2">
        <v>45530</v>
      </c>
      <c r="F467" s="2">
        <v>45534</v>
      </c>
      <c r="G467" t="s">
        <v>31</v>
      </c>
      <c r="H467" t="s">
        <v>44</v>
      </c>
      <c r="I467" s="3">
        <v>3310.93</v>
      </c>
      <c r="J467" t="s">
        <v>15</v>
      </c>
      <c r="K467" s="4">
        <v>0.5</v>
      </c>
      <c r="L467" s="3">
        <f t="shared" si="28"/>
        <v>1655.4649999999999</v>
      </c>
      <c r="M467" s="3">
        <f t="shared" si="29"/>
        <v>1655.4649999999999</v>
      </c>
      <c r="N467">
        <f t="shared" si="30"/>
        <v>4</v>
      </c>
      <c r="O467" s="3">
        <f t="shared" si="31"/>
        <v>3310.93</v>
      </c>
      <c r="P467" t="str" cm="1">
        <f t="array" ref="P467">_xlfn.IFS(C467&lt;18, "Under 18", C467&lt;36, "Btw 18&amp;35", C467&lt;51, "Btw 36&amp;50", C467&lt;66, "Btw 51&amp;65", C467&gt;=66," 66&amp;Above")</f>
        <v>Btw 18&amp;35</v>
      </c>
    </row>
    <row r="468" spans="1:16">
      <c r="A468" t="s">
        <v>912</v>
      </c>
      <c r="B468" t="s">
        <v>913</v>
      </c>
      <c r="C468">
        <v>11</v>
      </c>
      <c r="D468" t="s">
        <v>18</v>
      </c>
      <c r="E468" s="2">
        <v>45429</v>
      </c>
      <c r="F468" s="2">
        <v>45434</v>
      </c>
      <c r="G468" t="s">
        <v>49</v>
      </c>
      <c r="H468" t="s">
        <v>130</v>
      </c>
      <c r="I468" s="3">
        <v>3615.86</v>
      </c>
      <c r="J468" t="s">
        <v>15</v>
      </c>
      <c r="K468" s="4">
        <v>0.7</v>
      </c>
      <c r="L468" s="3">
        <f t="shared" si="28"/>
        <v>2531.1019999999999</v>
      </c>
      <c r="M468" s="3">
        <f t="shared" si="29"/>
        <v>1084.7580000000003</v>
      </c>
      <c r="N468">
        <f t="shared" si="30"/>
        <v>5</v>
      </c>
      <c r="O468" s="3">
        <f t="shared" si="31"/>
        <v>3615.86</v>
      </c>
      <c r="P468" t="str" cm="1">
        <f t="array" ref="P468">_xlfn.IFS(C468&lt;18, "Under 18", C468&lt;36, "Btw 18&amp;35", C468&lt;51, "Btw 36&amp;50", C468&lt;66, "Btw 51&amp;65", C468&gt;=66," 66&amp;Above")</f>
        <v>Under 18</v>
      </c>
    </row>
    <row r="469" spans="1:16">
      <c r="A469" t="s">
        <v>914</v>
      </c>
      <c r="B469" t="s">
        <v>915</v>
      </c>
      <c r="C469">
        <v>71</v>
      </c>
      <c r="D469" t="s">
        <v>18</v>
      </c>
      <c r="E469" s="2">
        <v>45694</v>
      </c>
      <c r="F469" s="2">
        <v>45701</v>
      </c>
      <c r="G469" t="s">
        <v>13</v>
      </c>
      <c r="H469" t="s">
        <v>165</v>
      </c>
      <c r="I469" s="3">
        <v>14885.93</v>
      </c>
      <c r="J469" t="s">
        <v>15</v>
      </c>
      <c r="K469" s="4">
        <v>0.9</v>
      </c>
      <c r="L469" s="3">
        <f t="shared" si="28"/>
        <v>13397.337000000001</v>
      </c>
      <c r="M469" s="3">
        <f t="shared" si="29"/>
        <v>1488.5929999999996</v>
      </c>
      <c r="N469">
        <f t="shared" si="30"/>
        <v>7</v>
      </c>
      <c r="O469" s="3">
        <f t="shared" si="31"/>
        <v>14885.93</v>
      </c>
      <c r="P469" t="str" cm="1">
        <f t="array" ref="P469">_xlfn.IFS(C469&lt;18, "Under 18", C469&lt;36, "Btw 18&amp;35", C469&lt;51, "Btw 36&amp;50", C469&lt;66, "Btw 51&amp;65", C469&gt;=66," 66&amp;Above")</f>
        <v xml:space="preserve"> 66&amp;Above</v>
      </c>
    </row>
    <row r="470" spans="1:16">
      <c r="A470" t="s">
        <v>916</v>
      </c>
      <c r="B470" t="s">
        <v>841</v>
      </c>
      <c r="C470">
        <v>29</v>
      </c>
      <c r="D470" t="s">
        <v>18</v>
      </c>
      <c r="E470" s="2">
        <v>45296</v>
      </c>
      <c r="F470" s="2">
        <v>45310</v>
      </c>
      <c r="G470" t="s">
        <v>60</v>
      </c>
      <c r="H470" t="s">
        <v>133</v>
      </c>
      <c r="I470" s="3">
        <v>21594.51</v>
      </c>
      <c r="J470" t="s">
        <v>15</v>
      </c>
      <c r="K470" s="4">
        <v>0.6</v>
      </c>
      <c r="L470" s="3">
        <f t="shared" si="28"/>
        <v>12956.705999999998</v>
      </c>
      <c r="M470" s="3">
        <f t="shared" si="29"/>
        <v>8637.8040000000001</v>
      </c>
      <c r="N470">
        <f t="shared" si="30"/>
        <v>14</v>
      </c>
      <c r="O470" s="3">
        <f t="shared" si="31"/>
        <v>21594.51</v>
      </c>
      <c r="P470" t="str" cm="1">
        <f t="array" ref="P470">_xlfn.IFS(C470&lt;18, "Under 18", C470&lt;36, "Btw 18&amp;35", C470&lt;51, "Btw 36&amp;50", C470&lt;66, "Btw 51&amp;65", C470&gt;=66," 66&amp;Above")</f>
        <v>Btw 18&amp;35</v>
      </c>
    </row>
    <row r="471" spans="1:16">
      <c r="A471" t="s">
        <v>917</v>
      </c>
      <c r="B471" t="s">
        <v>512</v>
      </c>
      <c r="C471">
        <v>35</v>
      </c>
      <c r="D471" t="s">
        <v>12</v>
      </c>
      <c r="E471" s="2">
        <v>45907</v>
      </c>
      <c r="F471" s="2">
        <v>45918</v>
      </c>
      <c r="G471" t="s">
        <v>60</v>
      </c>
      <c r="H471" t="s">
        <v>61</v>
      </c>
      <c r="I471" s="3">
        <v>16660.509999999998</v>
      </c>
      <c r="J471" t="s">
        <v>20</v>
      </c>
      <c r="K471" s="4">
        <v>0.7</v>
      </c>
      <c r="L471" s="3">
        <f t="shared" si="28"/>
        <v>11662.356999999998</v>
      </c>
      <c r="M471" s="3">
        <f t="shared" si="29"/>
        <v>4998.1530000000002</v>
      </c>
      <c r="N471">
        <f t="shared" si="30"/>
        <v>11</v>
      </c>
      <c r="O471" s="3">
        <f t="shared" si="31"/>
        <v>0</v>
      </c>
      <c r="P471" t="str" cm="1">
        <f t="array" ref="P471">_xlfn.IFS(C471&lt;18, "Under 18", C471&lt;36, "Btw 18&amp;35", C471&lt;51, "Btw 36&amp;50", C471&lt;66, "Btw 51&amp;65", C471&gt;=66," 66&amp;Above")</f>
        <v>Btw 18&amp;35</v>
      </c>
    </row>
    <row r="472" spans="1:16">
      <c r="A472" t="s">
        <v>918</v>
      </c>
      <c r="B472" t="s">
        <v>919</v>
      </c>
      <c r="C472">
        <v>9</v>
      </c>
      <c r="D472" t="s">
        <v>18</v>
      </c>
      <c r="E472" s="2">
        <v>45352</v>
      </c>
      <c r="F472" s="2">
        <v>45355</v>
      </c>
      <c r="G472" t="s">
        <v>49</v>
      </c>
      <c r="H472" t="s">
        <v>120</v>
      </c>
      <c r="I472" s="3">
        <v>5025.87</v>
      </c>
      <c r="J472" t="s">
        <v>15</v>
      </c>
      <c r="K472" s="4">
        <v>0.8</v>
      </c>
      <c r="L472" s="3">
        <f t="shared" si="28"/>
        <v>4020.6959999999999</v>
      </c>
      <c r="M472" s="3">
        <f t="shared" si="29"/>
        <v>1005.1739999999998</v>
      </c>
      <c r="N472">
        <f t="shared" si="30"/>
        <v>3</v>
      </c>
      <c r="O472" s="3">
        <f t="shared" si="31"/>
        <v>5025.87</v>
      </c>
      <c r="P472" t="str" cm="1">
        <f t="array" ref="P472">_xlfn.IFS(C472&lt;18, "Under 18", C472&lt;36, "Btw 18&amp;35", C472&lt;51, "Btw 36&amp;50", C472&lt;66, "Btw 51&amp;65", C472&gt;=66," 66&amp;Above")</f>
        <v>Under 18</v>
      </c>
    </row>
    <row r="473" spans="1:16">
      <c r="A473" t="s">
        <v>920</v>
      </c>
      <c r="B473" t="s">
        <v>191</v>
      </c>
      <c r="C473">
        <v>64</v>
      </c>
      <c r="D473" t="s">
        <v>18</v>
      </c>
      <c r="E473" s="2">
        <v>45437</v>
      </c>
      <c r="F473" s="2">
        <v>45439</v>
      </c>
      <c r="G473" t="s">
        <v>60</v>
      </c>
      <c r="H473" t="s">
        <v>77</v>
      </c>
      <c r="I473" s="3">
        <v>3693.42</v>
      </c>
      <c r="J473" t="s">
        <v>15</v>
      </c>
      <c r="K473" s="4">
        <v>0.9</v>
      </c>
      <c r="L473" s="3">
        <f t="shared" si="28"/>
        <v>3324.078</v>
      </c>
      <c r="M473" s="3">
        <f t="shared" si="29"/>
        <v>369.34199999999993</v>
      </c>
      <c r="N473">
        <f t="shared" si="30"/>
        <v>2</v>
      </c>
      <c r="O473" s="3">
        <f t="shared" si="31"/>
        <v>3693.42</v>
      </c>
      <c r="P473" t="str" cm="1">
        <f t="array" ref="P473">_xlfn.IFS(C473&lt;18, "Under 18", C473&lt;36, "Btw 18&amp;35", C473&lt;51, "Btw 36&amp;50", C473&lt;66, "Btw 51&amp;65", C473&gt;=66," 66&amp;Above")</f>
        <v>Btw 51&amp;65</v>
      </c>
    </row>
    <row r="474" spans="1:16">
      <c r="A474" t="s">
        <v>921</v>
      </c>
      <c r="B474" t="s">
        <v>922</v>
      </c>
      <c r="C474">
        <v>11</v>
      </c>
      <c r="D474" t="s">
        <v>12</v>
      </c>
      <c r="E474" s="2">
        <v>45819</v>
      </c>
      <c r="F474" s="2">
        <v>45823</v>
      </c>
      <c r="G474" t="s">
        <v>49</v>
      </c>
      <c r="H474" t="s">
        <v>130</v>
      </c>
      <c r="I474" s="3">
        <v>6070.15</v>
      </c>
      <c r="J474" t="s">
        <v>15</v>
      </c>
      <c r="K474" s="4">
        <v>0.7</v>
      </c>
      <c r="L474" s="3">
        <f t="shared" si="28"/>
        <v>4249.1049999999996</v>
      </c>
      <c r="M474" s="3">
        <f t="shared" si="29"/>
        <v>1821.0450000000001</v>
      </c>
      <c r="N474">
        <f t="shared" si="30"/>
        <v>4</v>
      </c>
      <c r="O474" s="3">
        <f t="shared" si="31"/>
        <v>6070.15</v>
      </c>
      <c r="P474" t="str" cm="1">
        <f t="array" ref="P474">_xlfn.IFS(C474&lt;18, "Under 18", C474&lt;36, "Btw 18&amp;35", C474&lt;51, "Btw 36&amp;50", C474&lt;66, "Btw 51&amp;65", C474&gt;=66," 66&amp;Above")</f>
        <v>Under 18</v>
      </c>
    </row>
    <row r="475" spans="1:16">
      <c r="A475" t="s">
        <v>923</v>
      </c>
      <c r="B475" t="s">
        <v>924</v>
      </c>
      <c r="C475">
        <v>78</v>
      </c>
      <c r="D475" t="s">
        <v>12</v>
      </c>
      <c r="E475" s="2">
        <v>45783</v>
      </c>
      <c r="F475" s="2">
        <v>45784</v>
      </c>
      <c r="G475" t="s">
        <v>31</v>
      </c>
      <c r="H475" t="s">
        <v>35</v>
      </c>
      <c r="I475" s="3">
        <v>1488.89</v>
      </c>
      <c r="J475" t="s">
        <v>15</v>
      </c>
      <c r="K475" s="4">
        <v>0.8</v>
      </c>
      <c r="L475" s="3">
        <f t="shared" si="28"/>
        <v>1191.1120000000001</v>
      </c>
      <c r="M475" s="3">
        <f t="shared" si="29"/>
        <v>297.77799999999996</v>
      </c>
      <c r="N475">
        <f t="shared" si="30"/>
        <v>1</v>
      </c>
      <c r="O475" s="3">
        <f t="shared" si="31"/>
        <v>1488.89</v>
      </c>
      <c r="P475" t="str" cm="1">
        <f t="array" ref="P475">_xlfn.IFS(C475&lt;18, "Under 18", C475&lt;36, "Btw 18&amp;35", C475&lt;51, "Btw 36&amp;50", C475&lt;66, "Btw 51&amp;65", C475&gt;=66," 66&amp;Above")</f>
        <v xml:space="preserve"> 66&amp;Above</v>
      </c>
    </row>
    <row r="476" spans="1:16">
      <c r="A476" t="s">
        <v>925</v>
      </c>
      <c r="B476" t="s">
        <v>55</v>
      </c>
      <c r="C476">
        <v>64</v>
      </c>
      <c r="D476" t="s">
        <v>12</v>
      </c>
      <c r="E476" s="2">
        <v>45477</v>
      </c>
      <c r="F476" s="2">
        <v>45480</v>
      </c>
      <c r="G476" t="s">
        <v>31</v>
      </c>
      <c r="H476" t="s">
        <v>35</v>
      </c>
      <c r="I476" s="3">
        <v>3173.52</v>
      </c>
      <c r="J476" t="s">
        <v>25</v>
      </c>
      <c r="K476" s="4">
        <v>0.9</v>
      </c>
      <c r="L476" s="3">
        <f t="shared" si="28"/>
        <v>2856.1680000000001</v>
      </c>
      <c r="M476" s="3">
        <f t="shared" si="29"/>
        <v>317.35199999999992</v>
      </c>
      <c r="N476">
        <f t="shared" si="30"/>
        <v>3</v>
      </c>
      <c r="O476" s="3">
        <f t="shared" si="31"/>
        <v>0</v>
      </c>
      <c r="P476" t="str" cm="1">
        <f t="array" ref="P476">_xlfn.IFS(C476&lt;18, "Under 18", C476&lt;36, "Btw 18&amp;35", C476&lt;51, "Btw 36&amp;50", C476&lt;66, "Btw 51&amp;65", C476&gt;=66," 66&amp;Above")</f>
        <v>Btw 51&amp;65</v>
      </c>
    </row>
    <row r="477" spans="1:16">
      <c r="A477" t="s">
        <v>926</v>
      </c>
      <c r="B477" t="s">
        <v>927</v>
      </c>
      <c r="C477">
        <v>38</v>
      </c>
      <c r="D477" t="s">
        <v>18</v>
      </c>
      <c r="E477" s="2">
        <v>45770</v>
      </c>
      <c r="F477" s="2">
        <v>45779</v>
      </c>
      <c r="G477" t="s">
        <v>60</v>
      </c>
      <c r="H477" t="s">
        <v>61</v>
      </c>
      <c r="I477" s="3">
        <v>12100.26</v>
      </c>
      <c r="J477" t="s">
        <v>25</v>
      </c>
      <c r="K477" s="4">
        <v>0.9</v>
      </c>
      <c r="L477" s="3">
        <f t="shared" si="28"/>
        <v>10890.234</v>
      </c>
      <c r="M477" s="3">
        <f t="shared" si="29"/>
        <v>1210.0259999999998</v>
      </c>
      <c r="N477">
        <f t="shared" si="30"/>
        <v>9</v>
      </c>
      <c r="O477" s="3">
        <f t="shared" si="31"/>
        <v>0</v>
      </c>
      <c r="P477" t="str" cm="1">
        <f t="array" ref="P477">_xlfn.IFS(C477&lt;18, "Under 18", C477&lt;36, "Btw 18&amp;35", C477&lt;51, "Btw 36&amp;50", C477&lt;66, "Btw 51&amp;65", C477&gt;=66," 66&amp;Above")</f>
        <v>Btw 36&amp;50</v>
      </c>
    </row>
    <row r="478" spans="1:16">
      <c r="A478" t="s">
        <v>928</v>
      </c>
      <c r="B478" t="s">
        <v>330</v>
      </c>
      <c r="C478">
        <v>66</v>
      </c>
      <c r="D478" t="s">
        <v>18</v>
      </c>
      <c r="E478" s="2">
        <v>45343</v>
      </c>
      <c r="F478" s="2">
        <v>45349</v>
      </c>
      <c r="G478" t="s">
        <v>13</v>
      </c>
      <c r="H478" t="s">
        <v>38</v>
      </c>
      <c r="I478" s="3">
        <v>17141</v>
      </c>
      <c r="J478" t="s">
        <v>15</v>
      </c>
      <c r="K478" s="4">
        <v>0.9</v>
      </c>
      <c r="L478" s="3">
        <f t="shared" si="28"/>
        <v>15426.9</v>
      </c>
      <c r="M478" s="3">
        <f t="shared" si="29"/>
        <v>1714.0999999999997</v>
      </c>
      <c r="N478">
        <f t="shared" si="30"/>
        <v>6</v>
      </c>
      <c r="O478" s="3">
        <f t="shared" si="31"/>
        <v>17141</v>
      </c>
      <c r="P478" t="str" cm="1">
        <f t="array" ref="P478">_xlfn.IFS(C478&lt;18, "Under 18", C478&lt;36, "Btw 18&amp;35", C478&lt;51, "Btw 36&amp;50", C478&lt;66, "Btw 51&amp;65", C478&gt;=66," 66&amp;Above")</f>
        <v xml:space="preserve"> 66&amp;Above</v>
      </c>
    </row>
    <row r="479" spans="1:16">
      <c r="A479" t="s">
        <v>929</v>
      </c>
      <c r="B479" t="s">
        <v>218</v>
      </c>
      <c r="C479">
        <v>36</v>
      </c>
      <c r="D479" t="s">
        <v>18</v>
      </c>
      <c r="E479" s="2">
        <v>45683</v>
      </c>
      <c r="F479" s="2">
        <v>45684</v>
      </c>
      <c r="G479" t="s">
        <v>23</v>
      </c>
      <c r="H479" t="s">
        <v>204</v>
      </c>
      <c r="I479" s="3">
        <v>1576.85</v>
      </c>
      <c r="J479" t="s">
        <v>20</v>
      </c>
      <c r="K479" s="4">
        <v>0.8</v>
      </c>
      <c r="L479" s="3">
        <f t="shared" si="28"/>
        <v>1261.48</v>
      </c>
      <c r="M479" s="3">
        <f t="shared" si="29"/>
        <v>315.36999999999989</v>
      </c>
      <c r="N479">
        <f t="shared" si="30"/>
        <v>1</v>
      </c>
      <c r="O479" s="3">
        <f t="shared" si="31"/>
        <v>0</v>
      </c>
      <c r="P479" t="str" cm="1">
        <f t="array" ref="P479">_xlfn.IFS(C479&lt;18, "Under 18", C479&lt;36, "Btw 18&amp;35", C479&lt;51, "Btw 36&amp;50", C479&lt;66, "Btw 51&amp;65", C479&gt;=66," 66&amp;Above")</f>
        <v>Btw 36&amp;50</v>
      </c>
    </row>
    <row r="480" spans="1:16">
      <c r="A480" t="s">
        <v>930</v>
      </c>
      <c r="B480" t="s">
        <v>628</v>
      </c>
      <c r="C480">
        <v>54</v>
      </c>
      <c r="D480" t="s">
        <v>12</v>
      </c>
      <c r="E480" s="2">
        <v>45504</v>
      </c>
      <c r="F480" s="2">
        <v>45505</v>
      </c>
      <c r="G480" t="s">
        <v>31</v>
      </c>
      <c r="H480" t="s">
        <v>53</v>
      </c>
      <c r="I480" s="3">
        <v>534.38</v>
      </c>
      <c r="J480" t="s">
        <v>15</v>
      </c>
      <c r="K480" s="4">
        <v>0.8</v>
      </c>
      <c r="L480" s="3">
        <f t="shared" si="28"/>
        <v>427.50400000000002</v>
      </c>
      <c r="M480" s="3">
        <f t="shared" si="29"/>
        <v>106.87599999999998</v>
      </c>
      <c r="N480">
        <f t="shared" si="30"/>
        <v>1</v>
      </c>
      <c r="O480" s="3">
        <f t="shared" si="31"/>
        <v>534.38</v>
      </c>
      <c r="P480" t="str" cm="1">
        <f t="array" ref="P480">_xlfn.IFS(C480&lt;18, "Under 18", C480&lt;36, "Btw 18&amp;35", C480&lt;51, "Btw 36&amp;50", C480&lt;66, "Btw 51&amp;65", C480&gt;=66," 66&amp;Above")</f>
        <v>Btw 51&amp;65</v>
      </c>
    </row>
    <row r="481" spans="1:16">
      <c r="A481" t="s">
        <v>931</v>
      </c>
      <c r="B481" t="s">
        <v>932</v>
      </c>
      <c r="C481">
        <v>1</v>
      </c>
      <c r="D481" t="s">
        <v>18</v>
      </c>
      <c r="E481" s="2">
        <v>45300</v>
      </c>
      <c r="F481" s="2">
        <v>45301</v>
      </c>
      <c r="G481" t="s">
        <v>49</v>
      </c>
      <c r="H481" t="s">
        <v>123</v>
      </c>
      <c r="I481" s="3">
        <v>728.22</v>
      </c>
      <c r="J481" t="s">
        <v>15</v>
      </c>
      <c r="K481" s="4">
        <v>0.6</v>
      </c>
      <c r="L481" s="3">
        <f t="shared" si="28"/>
        <v>436.93200000000002</v>
      </c>
      <c r="M481" s="3">
        <f t="shared" si="29"/>
        <v>291.28800000000001</v>
      </c>
      <c r="N481">
        <f t="shared" si="30"/>
        <v>1</v>
      </c>
      <c r="O481" s="3">
        <f t="shared" si="31"/>
        <v>728.22</v>
      </c>
      <c r="P481" t="str" cm="1">
        <f t="array" ref="P481">_xlfn.IFS(C481&lt;18, "Under 18", C481&lt;36, "Btw 18&amp;35", C481&lt;51, "Btw 36&amp;50", C481&lt;66, "Btw 51&amp;65", C481&gt;=66," 66&amp;Above")</f>
        <v>Under 18</v>
      </c>
    </row>
    <row r="482" spans="1:16">
      <c r="A482" t="s">
        <v>933</v>
      </c>
      <c r="B482" t="s">
        <v>11</v>
      </c>
      <c r="C482">
        <v>29</v>
      </c>
      <c r="D482" t="s">
        <v>12</v>
      </c>
      <c r="E482" s="2">
        <v>45847</v>
      </c>
      <c r="F482" s="2">
        <v>45853</v>
      </c>
      <c r="G482" t="s">
        <v>60</v>
      </c>
      <c r="H482" t="s">
        <v>142</v>
      </c>
      <c r="I482" s="3">
        <v>12100.99</v>
      </c>
      <c r="J482" t="s">
        <v>20</v>
      </c>
      <c r="K482" s="4">
        <v>1</v>
      </c>
      <c r="L482" s="3">
        <f t="shared" si="28"/>
        <v>12100.99</v>
      </c>
      <c r="M482" s="3">
        <f t="shared" si="29"/>
        <v>0</v>
      </c>
      <c r="N482">
        <f t="shared" si="30"/>
        <v>6</v>
      </c>
      <c r="O482" s="3">
        <f t="shared" si="31"/>
        <v>0</v>
      </c>
      <c r="P482" t="str" cm="1">
        <f t="array" ref="P482">_xlfn.IFS(C482&lt;18, "Under 18", C482&lt;36, "Btw 18&amp;35", C482&lt;51, "Btw 36&amp;50", C482&lt;66, "Btw 51&amp;65", C482&gt;=66," 66&amp;Above")</f>
        <v>Btw 18&amp;35</v>
      </c>
    </row>
    <row r="483" spans="1:16">
      <c r="A483" t="s">
        <v>934</v>
      </c>
      <c r="B483" t="s">
        <v>935</v>
      </c>
      <c r="C483">
        <v>77</v>
      </c>
      <c r="D483" t="s">
        <v>18</v>
      </c>
      <c r="E483" s="2">
        <v>45791</v>
      </c>
      <c r="F483" s="2">
        <v>45797</v>
      </c>
      <c r="G483" t="s">
        <v>13</v>
      </c>
      <c r="H483" t="s">
        <v>14</v>
      </c>
      <c r="I483" s="3">
        <v>8417.51</v>
      </c>
      <c r="J483" t="s">
        <v>25</v>
      </c>
      <c r="K483" s="4">
        <v>0.7</v>
      </c>
      <c r="L483" s="3">
        <f t="shared" si="28"/>
        <v>5892.2569999999996</v>
      </c>
      <c r="M483" s="3">
        <f t="shared" si="29"/>
        <v>2525.2530000000006</v>
      </c>
      <c r="N483">
        <f t="shared" si="30"/>
        <v>6</v>
      </c>
      <c r="O483" s="3">
        <f t="shared" si="31"/>
        <v>0</v>
      </c>
      <c r="P483" t="str" cm="1">
        <f t="array" ref="P483">_xlfn.IFS(C483&lt;18, "Under 18", C483&lt;36, "Btw 18&amp;35", C483&lt;51, "Btw 36&amp;50", C483&lt;66, "Btw 51&amp;65", C483&gt;=66," 66&amp;Above")</f>
        <v xml:space="preserve"> 66&amp;Above</v>
      </c>
    </row>
    <row r="484" spans="1:16">
      <c r="A484" t="s">
        <v>936</v>
      </c>
      <c r="B484" t="s">
        <v>870</v>
      </c>
      <c r="C484">
        <v>82</v>
      </c>
      <c r="D484" t="s">
        <v>18</v>
      </c>
      <c r="E484" s="2">
        <v>45519</v>
      </c>
      <c r="F484" s="2">
        <v>45522</v>
      </c>
      <c r="G484" t="s">
        <v>13</v>
      </c>
      <c r="H484" t="s">
        <v>165</v>
      </c>
      <c r="I484" s="3">
        <v>4494.01</v>
      </c>
      <c r="J484" t="s">
        <v>25</v>
      </c>
      <c r="K484" s="4">
        <v>0.5</v>
      </c>
      <c r="L484" s="3">
        <f t="shared" si="28"/>
        <v>2247.0050000000001</v>
      </c>
      <c r="M484" s="3">
        <f t="shared" si="29"/>
        <v>2247.0050000000001</v>
      </c>
      <c r="N484">
        <f t="shared" si="30"/>
        <v>3</v>
      </c>
      <c r="O484" s="3">
        <f t="shared" si="31"/>
        <v>0</v>
      </c>
      <c r="P484" t="str" cm="1">
        <f t="array" ref="P484">_xlfn.IFS(C484&lt;18, "Under 18", C484&lt;36, "Btw 18&amp;35", C484&lt;51, "Btw 36&amp;50", C484&lt;66, "Btw 51&amp;65", C484&gt;=66," 66&amp;Above")</f>
        <v xml:space="preserve"> 66&amp;Above</v>
      </c>
    </row>
    <row r="485" spans="1:16">
      <c r="A485" t="s">
        <v>937</v>
      </c>
      <c r="B485" t="s">
        <v>938</v>
      </c>
      <c r="C485">
        <v>2</v>
      </c>
      <c r="D485" t="s">
        <v>12</v>
      </c>
      <c r="E485" s="2">
        <v>45360</v>
      </c>
      <c r="F485" s="2">
        <v>45364</v>
      </c>
      <c r="G485" t="s">
        <v>49</v>
      </c>
      <c r="H485" t="s">
        <v>123</v>
      </c>
      <c r="I485" s="3">
        <v>3929.21</v>
      </c>
      <c r="J485" t="s">
        <v>20</v>
      </c>
      <c r="K485" s="4">
        <v>0.9</v>
      </c>
      <c r="L485" s="3">
        <f t="shared" si="28"/>
        <v>3536.2890000000002</v>
      </c>
      <c r="M485" s="3">
        <f t="shared" si="29"/>
        <v>392.92099999999994</v>
      </c>
      <c r="N485">
        <f t="shared" si="30"/>
        <v>4</v>
      </c>
      <c r="O485" s="3">
        <f t="shared" si="31"/>
        <v>0</v>
      </c>
      <c r="P485" t="str" cm="1">
        <f t="array" ref="P485">_xlfn.IFS(C485&lt;18, "Under 18", C485&lt;36, "Btw 18&amp;35", C485&lt;51, "Btw 36&amp;50", C485&lt;66, "Btw 51&amp;65", C485&gt;=66," 66&amp;Above")</f>
        <v>Under 18</v>
      </c>
    </row>
    <row r="486" spans="1:16">
      <c r="A486" t="s">
        <v>939</v>
      </c>
      <c r="B486" t="s">
        <v>854</v>
      </c>
      <c r="C486">
        <v>48</v>
      </c>
      <c r="D486" t="s">
        <v>18</v>
      </c>
      <c r="E486" s="2">
        <v>45983</v>
      </c>
      <c r="F486" s="2">
        <v>45997</v>
      </c>
      <c r="G486" t="s">
        <v>60</v>
      </c>
      <c r="H486" t="s">
        <v>77</v>
      </c>
      <c r="I486" s="3">
        <v>24600.43</v>
      </c>
      <c r="J486" t="s">
        <v>20</v>
      </c>
      <c r="K486" s="4">
        <v>0.7</v>
      </c>
      <c r="L486" s="3">
        <f t="shared" si="28"/>
        <v>17220.300999999999</v>
      </c>
      <c r="M486" s="3">
        <f t="shared" si="29"/>
        <v>7380.1290000000008</v>
      </c>
      <c r="N486">
        <f t="shared" si="30"/>
        <v>14</v>
      </c>
      <c r="O486" s="3">
        <f t="shared" si="31"/>
        <v>0</v>
      </c>
      <c r="P486" t="str" cm="1">
        <f t="array" ref="P486">_xlfn.IFS(C486&lt;18, "Under 18", C486&lt;36, "Btw 18&amp;35", C486&lt;51, "Btw 36&amp;50", C486&lt;66, "Btw 51&amp;65", C486&gt;=66," 66&amp;Above")</f>
        <v>Btw 36&amp;50</v>
      </c>
    </row>
    <row r="487" spans="1:16">
      <c r="A487" t="s">
        <v>940</v>
      </c>
      <c r="B487" t="s">
        <v>941</v>
      </c>
      <c r="C487">
        <v>60</v>
      </c>
      <c r="D487" t="s">
        <v>12</v>
      </c>
      <c r="E487" s="2">
        <v>45438</v>
      </c>
      <c r="F487" s="2">
        <v>45441</v>
      </c>
      <c r="G487" t="s">
        <v>23</v>
      </c>
      <c r="H487" t="s">
        <v>82</v>
      </c>
      <c r="I487" s="3">
        <v>4928.0600000000004</v>
      </c>
      <c r="J487" t="s">
        <v>25</v>
      </c>
      <c r="K487" s="4">
        <v>0.6</v>
      </c>
      <c r="L487" s="3">
        <f t="shared" si="28"/>
        <v>2956.8360000000002</v>
      </c>
      <c r="M487" s="3">
        <f t="shared" si="29"/>
        <v>1971.2240000000002</v>
      </c>
      <c r="N487">
        <f t="shared" si="30"/>
        <v>3</v>
      </c>
      <c r="O487" s="3">
        <f t="shared" si="31"/>
        <v>0</v>
      </c>
      <c r="P487" t="str" cm="1">
        <f t="array" ref="P487">_xlfn.IFS(C487&lt;18, "Under 18", C487&lt;36, "Btw 18&amp;35", C487&lt;51, "Btw 36&amp;50", C487&lt;66, "Btw 51&amp;65", C487&gt;=66," 66&amp;Above")</f>
        <v>Btw 51&amp;65</v>
      </c>
    </row>
    <row r="488" spans="1:16">
      <c r="A488" t="s">
        <v>942</v>
      </c>
      <c r="B488" t="s">
        <v>99</v>
      </c>
      <c r="C488">
        <v>69</v>
      </c>
      <c r="D488" t="s">
        <v>18</v>
      </c>
      <c r="E488" s="2">
        <v>45686</v>
      </c>
      <c r="F488" s="2">
        <v>45687</v>
      </c>
      <c r="G488" t="s">
        <v>23</v>
      </c>
      <c r="H488" t="s">
        <v>28</v>
      </c>
      <c r="I488" s="3">
        <v>1292.28</v>
      </c>
      <c r="J488" t="s">
        <v>15</v>
      </c>
      <c r="K488" s="4">
        <v>1</v>
      </c>
      <c r="L488" s="3">
        <f t="shared" si="28"/>
        <v>1292.28</v>
      </c>
      <c r="M488" s="3">
        <f t="shared" si="29"/>
        <v>0</v>
      </c>
      <c r="N488">
        <f t="shared" si="30"/>
        <v>1</v>
      </c>
      <c r="O488" s="3">
        <f t="shared" si="31"/>
        <v>1292.28</v>
      </c>
      <c r="P488" t="str" cm="1">
        <f t="array" ref="P488">_xlfn.IFS(C488&lt;18, "Under 18", C488&lt;36, "Btw 18&amp;35", C488&lt;51, "Btw 36&amp;50", C488&lt;66, "Btw 51&amp;65", C488&gt;=66," 66&amp;Above")</f>
        <v xml:space="preserve"> 66&amp;Above</v>
      </c>
    </row>
    <row r="489" spans="1:16">
      <c r="A489" t="s">
        <v>943</v>
      </c>
      <c r="B489" t="s">
        <v>944</v>
      </c>
      <c r="C489">
        <v>14</v>
      </c>
      <c r="D489" t="s">
        <v>18</v>
      </c>
      <c r="E489" s="2">
        <v>45598</v>
      </c>
      <c r="F489" s="2">
        <v>45601</v>
      </c>
      <c r="G489" t="s">
        <v>49</v>
      </c>
      <c r="H489" t="s">
        <v>130</v>
      </c>
      <c r="I489" s="3">
        <v>3900.85</v>
      </c>
      <c r="J489" t="s">
        <v>15</v>
      </c>
      <c r="K489" s="4">
        <v>0.9</v>
      </c>
      <c r="L489" s="3">
        <f t="shared" si="28"/>
        <v>3510.7649999999999</v>
      </c>
      <c r="M489" s="3">
        <f t="shared" si="29"/>
        <v>390.08499999999992</v>
      </c>
      <c r="N489">
        <f t="shared" si="30"/>
        <v>3</v>
      </c>
      <c r="O489" s="3">
        <f t="shared" si="31"/>
        <v>3900.85</v>
      </c>
      <c r="P489" t="str" cm="1">
        <f t="array" ref="P489">_xlfn.IFS(C489&lt;18, "Under 18", C489&lt;36, "Btw 18&amp;35", C489&lt;51, "Btw 36&amp;50", C489&lt;66, "Btw 51&amp;65", C489&gt;=66," 66&amp;Above")</f>
        <v>Under 18</v>
      </c>
    </row>
    <row r="490" spans="1:16">
      <c r="A490" t="s">
        <v>945</v>
      </c>
      <c r="B490" t="s">
        <v>946</v>
      </c>
      <c r="C490">
        <v>39</v>
      </c>
      <c r="D490" t="s">
        <v>18</v>
      </c>
      <c r="E490" s="2">
        <v>45771</v>
      </c>
      <c r="F490" s="2">
        <v>45776</v>
      </c>
      <c r="G490" t="s">
        <v>31</v>
      </c>
      <c r="H490" t="s">
        <v>234</v>
      </c>
      <c r="I490" s="3">
        <v>2872.81</v>
      </c>
      <c r="J490" t="s">
        <v>20</v>
      </c>
      <c r="K490" s="4">
        <v>1</v>
      </c>
      <c r="L490" s="3">
        <f t="shared" si="28"/>
        <v>2872.81</v>
      </c>
      <c r="M490" s="3">
        <f t="shared" si="29"/>
        <v>0</v>
      </c>
      <c r="N490">
        <f t="shared" si="30"/>
        <v>5</v>
      </c>
      <c r="O490" s="3">
        <f t="shared" si="31"/>
        <v>0</v>
      </c>
      <c r="P490" t="str" cm="1">
        <f t="array" ref="P490">_xlfn.IFS(C490&lt;18, "Under 18", C490&lt;36, "Btw 18&amp;35", C490&lt;51, "Btw 36&amp;50", C490&lt;66, "Btw 51&amp;65", C490&gt;=66," 66&amp;Above")</f>
        <v>Btw 36&amp;50</v>
      </c>
    </row>
    <row r="491" spans="1:16">
      <c r="A491" t="s">
        <v>947</v>
      </c>
      <c r="B491" t="s">
        <v>948</v>
      </c>
      <c r="C491">
        <v>43</v>
      </c>
      <c r="D491" t="s">
        <v>18</v>
      </c>
      <c r="E491" s="2">
        <v>45975</v>
      </c>
      <c r="F491" s="2">
        <v>45984</v>
      </c>
      <c r="G491" t="s">
        <v>60</v>
      </c>
      <c r="H491" t="s">
        <v>97</v>
      </c>
      <c r="I491" s="3">
        <v>16993.79</v>
      </c>
      <c r="J491" t="s">
        <v>25</v>
      </c>
      <c r="K491" s="4">
        <v>0.7</v>
      </c>
      <c r="L491" s="3">
        <f t="shared" si="28"/>
        <v>11895.653</v>
      </c>
      <c r="M491" s="3">
        <f t="shared" si="29"/>
        <v>5098.1370000000006</v>
      </c>
      <c r="N491">
        <f t="shared" si="30"/>
        <v>9</v>
      </c>
      <c r="O491" s="3">
        <f t="shared" si="31"/>
        <v>0</v>
      </c>
      <c r="P491" t="str" cm="1">
        <f t="array" ref="P491">_xlfn.IFS(C491&lt;18, "Under 18", C491&lt;36, "Btw 18&amp;35", C491&lt;51, "Btw 36&amp;50", C491&lt;66, "Btw 51&amp;65", C491&gt;=66," 66&amp;Above")</f>
        <v>Btw 36&amp;50</v>
      </c>
    </row>
    <row r="492" spans="1:16">
      <c r="A492" t="s">
        <v>949</v>
      </c>
      <c r="B492" t="s">
        <v>950</v>
      </c>
      <c r="C492">
        <v>11</v>
      </c>
      <c r="D492" t="s">
        <v>12</v>
      </c>
      <c r="E492" s="2">
        <v>45979</v>
      </c>
      <c r="F492" s="2">
        <v>45983</v>
      </c>
      <c r="G492" t="s">
        <v>49</v>
      </c>
      <c r="H492" t="s">
        <v>378</v>
      </c>
      <c r="I492" s="3">
        <v>4693.3500000000004</v>
      </c>
      <c r="J492" t="s">
        <v>15</v>
      </c>
      <c r="K492" s="4">
        <v>0.8</v>
      </c>
      <c r="L492" s="3">
        <f t="shared" si="28"/>
        <v>3754.6800000000003</v>
      </c>
      <c r="M492" s="3">
        <f t="shared" si="29"/>
        <v>938.66999999999985</v>
      </c>
      <c r="N492">
        <f t="shared" si="30"/>
        <v>4</v>
      </c>
      <c r="O492" s="3">
        <f t="shared" si="31"/>
        <v>4693.3500000000004</v>
      </c>
      <c r="P492" t="str" cm="1">
        <f t="array" ref="P492">_xlfn.IFS(C492&lt;18, "Under 18", C492&lt;36, "Btw 18&amp;35", C492&lt;51, "Btw 36&amp;50", C492&lt;66, "Btw 51&amp;65", C492&gt;=66," 66&amp;Above")</f>
        <v>Under 18</v>
      </c>
    </row>
    <row r="493" spans="1:16">
      <c r="A493" t="s">
        <v>951</v>
      </c>
      <c r="B493" t="s">
        <v>952</v>
      </c>
      <c r="C493">
        <v>71</v>
      </c>
      <c r="D493" t="s">
        <v>18</v>
      </c>
      <c r="E493" s="2">
        <v>45990</v>
      </c>
      <c r="F493" s="2">
        <v>45991</v>
      </c>
      <c r="G493" t="s">
        <v>23</v>
      </c>
      <c r="H493" t="s">
        <v>221</v>
      </c>
      <c r="I493" s="3">
        <v>2381.67</v>
      </c>
      <c r="J493" t="s">
        <v>25</v>
      </c>
      <c r="K493" s="4">
        <v>0.6</v>
      </c>
      <c r="L493" s="3">
        <f t="shared" si="28"/>
        <v>1429.002</v>
      </c>
      <c r="M493" s="3">
        <f t="shared" si="29"/>
        <v>952.66800000000012</v>
      </c>
      <c r="N493">
        <f t="shared" si="30"/>
        <v>1</v>
      </c>
      <c r="O493" s="3">
        <f t="shared" si="31"/>
        <v>0</v>
      </c>
      <c r="P493" t="str" cm="1">
        <f t="array" ref="P493">_xlfn.IFS(C493&lt;18, "Under 18", C493&lt;36, "Btw 18&amp;35", C493&lt;51, "Btw 36&amp;50", C493&lt;66, "Btw 51&amp;65", C493&gt;=66," 66&amp;Above")</f>
        <v xml:space="preserve"> 66&amp;Above</v>
      </c>
    </row>
    <row r="494" spans="1:16">
      <c r="A494" t="s">
        <v>953</v>
      </c>
      <c r="B494" t="s">
        <v>954</v>
      </c>
      <c r="C494">
        <v>14</v>
      </c>
      <c r="D494" t="s">
        <v>12</v>
      </c>
      <c r="E494" s="2">
        <v>45387</v>
      </c>
      <c r="F494" s="2">
        <v>45389</v>
      </c>
      <c r="G494" t="s">
        <v>49</v>
      </c>
      <c r="H494" t="s">
        <v>117</v>
      </c>
      <c r="I494" s="3">
        <v>3014.2</v>
      </c>
      <c r="J494" t="s">
        <v>20</v>
      </c>
      <c r="K494" s="4">
        <v>0.6</v>
      </c>
      <c r="L494" s="3">
        <f t="shared" si="28"/>
        <v>1808.5199999999998</v>
      </c>
      <c r="M494" s="3">
        <f t="shared" si="29"/>
        <v>1205.68</v>
      </c>
      <c r="N494">
        <f t="shared" si="30"/>
        <v>2</v>
      </c>
      <c r="O494" s="3">
        <f t="shared" si="31"/>
        <v>0</v>
      </c>
      <c r="P494" t="str" cm="1">
        <f t="array" ref="P494">_xlfn.IFS(C494&lt;18, "Under 18", C494&lt;36, "Btw 18&amp;35", C494&lt;51, "Btw 36&amp;50", C494&lt;66, "Btw 51&amp;65", C494&gt;=66," 66&amp;Above")</f>
        <v>Under 18</v>
      </c>
    </row>
    <row r="495" spans="1:16">
      <c r="A495" t="s">
        <v>955</v>
      </c>
      <c r="B495" t="s">
        <v>956</v>
      </c>
      <c r="C495">
        <v>45</v>
      </c>
      <c r="D495" t="s">
        <v>18</v>
      </c>
      <c r="E495" s="2">
        <v>45431</v>
      </c>
      <c r="F495" s="2">
        <v>45439</v>
      </c>
      <c r="G495" t="s">
        <v>70</v>
      </c>
      <c r="H495" t="s">
        <v>295</v>
      </c>
      <c r="I495" s="3">
        <v>13434.66</v>
      </c>
      <c r="J495" t="s">
        <v>20</v>
      </c>
      <c r="K495" s="4">
        <v>0.6</v>
      </c>
      <c r="L495" s="3">
        <f t="shared" si="28"/>
        <v>8060.7959999999994</v>
      </c>
      <c r="M495" s="3">
        <f t="shared" si="29"/>
        <v>5373.8640000000005</v>
      </c>
      <c r="N495">
        <f t="shared" si="30"/>
        <v>8</v>
      </c>
      <c r="O495" s="3">
        <f t="shared" si="31"/>
        <v>0</v>
      </c>
      <c r="P495" t="str" cm="1">
        <f t="array" ref="P495">_xlfn.IFS(C495&lt;18, "Under 18", C495&lt;36, "Btw 18&amp;35", C495&lt;51, "Btw 36&amp;50", C495&lt;66, "Btw 51&amp;65", C495&gt;=66," 66&amp;Above")</f>
        <v>Btw 36&amp;50</v>
      </c>
    </row>
    <row r="496" spans="1:16">
      <c r="A496" t="s">
        <v>957</v>
      </c>
      <c r="B496" t="s">
        <v>958</v>
      </c>
      <c r="C496">
        <v>29</v>
      </c>
      <c r="D496" t="s">
        <v>12</v>
      </c>
      <c r="E496" s="2">
        <v>45792</v>
      </c>
      <c r="F496" s="2">
        <v>45803</v>
      </c>
      <c r="G496" t="s">
        <v>60</v>
      </c>
      <c r="H496" t="s">
        <v>142</v>
      </c>
      <c r="I496" s="3">
        <v>13647.71</v>
      </c>
      <c r="J496" t="s">
        <v>15</v>
      </c>
      <c r="K496" s="4">
        <v>0.5</v>
      </c>
      <c r="L496" s="3">
        <f t="shared" si="28"/>
        <v>6823.8549999999996</v>
      </c>
      <c r="M496" s="3">
        <f t="shared" si="29"/>
        <v>6823.8549999999996</v>
      </c>
      <c r="N496">
        <f t="shared" si="30"/>
        <v>11</v>
      </c>
      <c r="O496" s="3">
        <f t="shared" si="31"/>
        <v>13647.71</v>
      </c>
      <c r="P496" t="str" cm="1">
        <f t="array" ref="P496">_xlfn.IFS(C496&lt;18, "Under 18", C496&lt;36, "Btw 18&amp;35", C496&lt;51, "Btw 36&amp;50", C496&lt;66, "Btw 51&amp;65", C496&gt;=66," 66&amp;Above")</f>
        <v>Btw 18&amp;35</v>
      </c>
    </row>
    <row r="497" spans="1:16">
      <c r="A497" t="s">
        <v>959</v>
      </c>
      <c r="B497" t="s">
        <v>960</v>
      </c>
      <c r="C497">
        <v>44</v>
      </c>
      <c r="D497" t="s">
        <v>12</v>
      </c>
      <c r="E497" s="2">
        <v>45932</v>
      </c>
      <c r="F497" s="2">
        <v>45934</v>
      </c>
      <c r="G497" t="s">
        <v>60</v>
      </c>
      <c r="H497" t="s">
        <v>133</v>
      </c>
      <c r="I497" s="3">
        <v>4992.76</v>
      </c>
      <c r="J497" t="s">
        <v>15</v>
      </c>
      <c r="K497" s="4">
        <v>0.6</v>
      </c>
      <c r="L497" s="3">
        <f t="shared" si="28"/>
        <v>2995.6559999999999</v>
      </c>
      <c r="M497" s="3">
        <f t="shared" si="29"/>
        <v>1997.1040000000003</v>
      </c>
      <c r="N497">
        <f t="shared" si="30"/>
        <v>2</v>
      </c>
      <c r="O497" s="3">
        <f t="shared" si="31"/>
        <v>4992.76</v>
      </c>
      <c r="P497" t="str" cm="1">
        <f t="array" ref="P497">_xlfn.IFS(C497&lt;18, "Under 18", C497&lt;36, "Btw 18&amp;35", C497&lt;51, "Btw 36&amp;50", C497&lt;66, "Btw 51&amp;65", C497&gt;=66," 66&amp;Above")</f>
        <v>Btw 36&amp;50</v>
      </c>
    </row>
    <row r="498" spans="1:16">
      <c r="A498" t="s">
        <v>961</v>
      </c>
      <c r="B498" t="s">
        <v>962</v>
      </c>
      <c r="C498">
        <v>42</v>
      </c>
      <c r="D498" t="s">
        <v>12</v>
      </c>
      <c r="E498" s="2">
        <v>45657</v>
      </c>
      <c r="F498" s="2">
        <v>45659</v>
      </c>
      <c r="G498" t="s">
        <v>23</v>
      </c>
      <c r="H498" t="s">
        <v>41</v>
      </c>
      <c r="I498" s="3">
        <v>4370.5</v>
      </c>
      <c r="J498" t="s">
        <v>20</v>
      </c>
      <c r="K498" s="4">
        <v>0.7</v>
      </c>
      <c r="L498" s="3">
        <f t="shared" si="28"/>
        <v>3059.35</v>
      </c>
      <c r="M498" s="3">
        <f t="shared" si="29"/>
        <v>1311.15</v>
      </c>
      <c r="N498">
        <f t="shared" si="30"/>
        <v>2</v>
      </c>
      <c r="O498" s="3">
        <f t="shared" si="31"/>
        <v>0</v>
      </c>
      <c r="P498" t="str" cm="1">
        <f t="array" ref="P498">_xlfn.IFS(C498&lt;18, "Under 18", C498&lt;36, "Btw 18&amp;35", C498&lt;51, "Btw 36&amp;50", C498&lt;66, "Btw 51&amp;65", C498&gt;=66," 66&amp;Above")</f>
        <v>Btw 36&amp;50</v>
      </c>
    </row>
    <row r="499" spans="1:16">
      <c r="A499" t="s">
        <v>963</v>
      </c>
      <c r="B499" t="s">
        <v>964</v>
      </c>
      <c r="C499">
        <v>48</v>
      </c>
      <c r="D499" t="s">
        <v>18</v>
      </c>
      <c r="E499" s="2">
        <v>45661</v>
      </c>
      <c r="F499" s="2">
        <v>45665</v>
      </c>
      <c r="G499" t="s">
        <v>31</v>
      </c>
      <c r="H499" t="s">
        <v>87</v>
      </c>
      <c r="I499" s="3">
        <v>3007.7</v>
      </c>
      <c r="J499" t="s">
        <v>20</v>
      </c>
      <c r="K499" s="4">
        <v>0.8</v>
      </c>
      <c r="L499" s="3">
        <f t="shared" si="28"/>
        <v>2406.16</v>
      </c>
      <c r="M499" s="3">
        <f t="shared" si="29"/>
        <v>601.53999999999985</v>
      </c>
      <c r="N499">
        <f t="shared" si="30"/>
        <v>4</v>
      </c>
      <c r="O499" s="3">
        <f t="shared" si="31"/>
        <v>0</v>
      </c>
      <c r="P499" t="str" cm="1">
        <f t="array" ref="P499">_xlfn.IFS(C499&lt;18, "Under 18", C499&lt;36, "Btw 18&amp;35", C499&lt;51, "Btw 36&amp;50", C499&lt;66, "Btw 51&amp;65", C499&gt;=66," 66&amp;Above")</f>
        <v>Btw 36&amp;50</v>
      </c>
    </row>
    <row r="500" spans="1:16">
      <c r="A500" t="s">
        <v>965</v>
      </c>
      <c r="B500" t="s">
        <v>966</v>
      </c>
      <c r="C500">
        <v>50</v>
      </c>
      <c r="D500" t="s">
        <v>18</v>
      </c>
      <c r="E500" s="2">
        <v>45666</v>
      </c>
      <c r="F500" s="2">
        <v>45673</v>
      </c>
      <c r="G500" t="s">
        <v>70</v>
      </c>
      <c r="H500" t="s">
        <v>94</v>
      </c>
      <c r="I500" s="3">
        <v>17578.87</v>
      </c>
      <c r="J500" t="s">
        <v>15</v>
      </c>
      <c r="K500" s="4">
        <v>0.8</v>
      </c>
      <c r="L500" s="3">
        <f t="shared" si="28"/>
        <v>14063.096</v>
      </c>
      <c r="M500" s="3">
        <f t="shared" si="29"/>
        <v>3515.773999999999</v>
      </c>
      <c r="N500">
        <f t="shared" si="30"/>
        <v>7</v>
      </c>
      <c r="O500" s="3">
        <f t="shared" si="31"/>
        <v>17578.87</v>
      </c>
      <c r="P500" t="str" cm="1">
        <f t="array" ref="P500">_xlfn.IFS(C500&lt;18, "Under 18", C500&lt;36, "Btw 18&amp;35", C500&lt;51, "Btw 36&amp;50", C500&lt;66, "Btw 51&amp;65", C500&gt;=66," 66&amp;Above")</f>
        <v>Btw 36&amp;50</v>
      </c>
    </row>
    <row r="501" spans="1:16">
      <c r="A501" t="s">
        <v>967</v>
      </c>
      <c r="B501" t="s">
        <v>737</v>
      </c>
      <c r="C501">
        <v>78</v>
      </c>
      <c r="D501" t="s">
        <v>12</v>
      </c>
      <c r="E501" s="2">
        <v>45910</v>
      </c>
      <c r="F501" s="2">
        <v>45912</v>
      </c>
      <c r="G501" t="s">
        <v>31</v>
      </c>
      <c r="H501" t="s">
        <v>53</v>
      </c>
      <c r="I501" s="3">
        <v>1203.76</v>
      </c>
      <c r="J501" t="s">
        <v>20</v>
      </c>
      <c r="K501" s="4">
        <v>0.9</v>
      </c>
      <c r="L501" s="3">
        <f t="shared" si="28"/>
        <v>1083.384</v>
      </c>
      <c r="M501" s="3">
        <f t="shared" si="29"/>
        <v>120.37599999999998</v>
      </c>
      <c r="N501">
        <f t="shared" si="30"/>
        <v>2</v>
      </c>
      <c r="O501" s="3">
        <f t="shared" si="31"/>
        <v>0</v>
      </c>
      <c r="P501" t="str" cm="1">
        <f t="array" ref="P501">_xlfn.IFS(C501&lt;18, "Under 18", C501&lt;36, "Btw 18&amp;35", C501&lt;51, "Btw 36&amp;50", C501&lt;66, "Btw 51&amp;65", C501&gt;=66," 66&amp;Above")</f>
        <v xml:space="preserve"> 66&amp;Above</v>
      </c>
    </row>
    <row r="502" spans="1:16">
      <c r="A502" t="s">
        <v>968</v>
      </c>
      <c r="B502" t="s">
        <v>969</v>
      </c>
      <c r="C502">
        <v>22</v>
      </c>
      <c r="D502" t="s">
        <v>18</v>
      </c>
      <c r="E502" s="2">
        <v>45639</v>
      </c>
      <c r="F502" s="2">
        <v>45642</v>
      </c>
      <c r="G502" t="s">
        <v>23</v>
      </c>
      <c r="H502" t="s">
        <v>24</v>
      </c>
      <c r="I502" s="3">
        <v>2453.12</v>
      </c>
      <c r="J502" t="s">
        <v>15</v>
      </c>
      <c r="K502" s="4">
        <v>0.5</v>
      </c>
      <c r="L502" s="3">
        <f t="shared" si="28"/>
        <v>1226.56</v>
      </c>
      <c r="M502" s="3">
        <f t="shared" si="29"/>
        <v>1226.56</v>
      </c>
      <c r="N502">
        <f t="shared" si="30"/>
        <v>3</v>
      </c>
      <c r="O502" s="3">
        <f t="shared" si="31"/>
        <v>2453.12</v>
      </c>
      <c r="P502" t="str" cm="1">
        <f t="array" ref="P502">_xlfn.IFS(C502&lt;18, "Under 18", C502&lt;36, "Btw 18&amp;35", C502&lt;51, "Btw 36&amp;50", C502&lt;66, "Btw 51&amp;65", C502&gt;=66," 66&amp;Above")</f>
        <v>Btw 18&amp;35</v>
      </c>
    </row>
    <row r="503" spans="1:16">
      <c r="A503" t="s">
        <v>970</v>
      </c>
      <c r="B503" t="s">
        <v>971</v>
      </c>
      <c r="C503">
        <v>64</v>
      </c>
      <c r="D503" t="s">
        <v>12</v>
      </c>
      <c r="E503" s="2">
        <v>45410</v>
      </c>
      <c r="F503" s="2">
        <v>45413</v>
      </c>
      <c r="G503" t="s">
        <v>13</v>
      </c>
      <c r="H503" t="s">
        <v>102</v>
      </c>
      <c r="I503" s="3">
        <v>6452.72</v>
      </c>
      <c r="J503" t="s">
        <v>15</v>
      </c>
      <c r="K503" s="4">
        <v>0.7</v>
      </c>
      <c r="L503" s="3">
        <f t="shared" si="28"/>
        <v>4516.9039999999995</v>
      </c>
      <c r="M503" s="3">
        <f t="shared" si="29"/>
        <v>1935.8160000000003</v>
      </c>
      <c r="N503">
        <f t="shared" si="30"/>
        <v>3</v>
      </c>
      <c r="O503" s="3">
        <f t="shared" si="31"/>
        <v>6452.72</v>
      </c>
      <c r="P503" t="str" cm="1">
        <f t="array" ref="P503">_xlfn.IFS(C503&lt;18, "Under 18", C503&lt;36, "Btw 18&amp;35", C503&lt;51, "Btw 36&amp;50", C503&lt;66, "Btw 51&amp;65", C503&gt;=66," 66&amp;Above")</f>
        <v>Btw 51&amp;65</v>
      </c>
    </row>
    <row r="504" spans="1:16">
      <c r="A504" t="s">
        <v>972</v>
      </c>
      <c r="B504" t="s">
        <v>973</v>
      </c>
      <c r="C504">
        <v>10</v>
      </c>
      <c r="D504" t="s">
        <v>18</v>
      </c>
      <c r="E504" s="2">
        <v>45504</v>
      </c>
      <c r="F504" s="2">
        <v>45507</v>
      </c>
      <c r="G504" t="s">
        <v>49</v>
      </c>
      <c r="H504" t="s">
        <v>50</v>
      </c>
      <c r="I504" s="3">
        <v>3215.48</v>
      </c>
      <c r="J504" t="s">
        <v>15</v>
      </c>
      <c r="K504" s="4">
        <v>0.9</v>
      </c>
      <c r="L504" s="3">
        <f t="shared" si="28"/>
        <v>2893.9320000000002</v>
      </c>
      <c r="M504" s="3">
        <f t="shared" si="29"/>
        <v>321.54799999999994</v>
      </c>
      <c r="N504">
        <f t="shared" si="30"/>
        <v>3</v>
      </c>
      <c r="O504" s="3">
        <f t="shared" si="31"/>
        <v>3215.48</v>
      </c>
      <c r="P504" t="str" cm="1">
        <f t="array" ref="P504">_xlfn.IFS(C504&lt;18, "Under 18", C504&lt;36, "Btw 18&amp;35", C504&lt;51, "Btw 36&amp;50", C504&lt;66, "Btw 51&amp;65", C504&gt;=66," 66&amp;Above")</f>
        <v>Under 18</v>
      </c>
    </row>
    <row r="505" spans="1:16">
      <c r="A505" t="s">
        <v>974</v>
      </c>
      <c r="B505" t="s">
        <v>975</v>
      </c>
      <c r="C505">
        <v>62</v>
      </c>
      <c r="D505" t="s">
        <v>12</v>
      </c>
      <c r="E505" s="2">
        <v>45678</v>
      </c>
      <c r="F505" s="2">
        <v>45684</v>
      </c>
      <c r="G505" t="s">
        <v>13</v>
      </c>
      <c r="H505" t="s">
        <v>38</v>
      </c>
      <c r="I505" s="3">
        <v>17458.62</v>
      </c>
      <c r="J505" t="s">
        <v>15</v>
      </c>
      <c r="K505" s="4">
        <v>0</v>
      </c>
      <c r="L505" s="3">
        <f t="shared" si="28"/>
        <v>0</v>
      </c>
      <c r="M505" s="3">
        <f t="shared" si="29"/>
        <v>17458.62</v>
      </c>
      <c r="N505">
        <f t="shared" si="30"/>
        <v>6</v>
      </c>
      <c r="O505" s="3">
        <f t="shared" si="31"/>
        <v>17458.62</v>
      </c>
      <c r="P505" t="str" cm="1">
        <f t="array" ref="P505">_xlfn.IFS(C505&lt;18, "Under 18", C505&lt;36, "Btw 18&amp;35", C505&lt;51, "Btw 36&amp;50", C505&lt;66, "Btw 51&amp;65", C505&gt;=66," 66&amp;Above")</f>
        <v>Btw 51&amp;65</v>
      </c>
    </row>
    <row r="506" spans="1:16">
      <c r="A506" t="s">
        <v>976</v>
      </c>
      <c r="B506" t="s">
        <v>789</v>
      </c>
      <c r="C506">
        <v>57</v>
      </c>
      <c r="D506" t="s">
        <v>12</v>
      </c>
      <c r="E506" s="2">
        <v>45993</v>
      </c>
      <c r="F506" s="2">
        <v>45998</v>
      </c>
      <c r="G506" t="s">
        <v>13</v>
      </c>
      <c r="H506" t="s">
        <v>14</v>
      </c>
      <c r="I506" s="3">
        <v>14707.56</v>
      </c>
      <c r="J506" t="s">
        <v>25</v>
      </c>
      <c r="K506" s="4">
        <v>0.8</v>
      </c>
      <c r="L506" s="3">
        <f t="shared" si="28"/>
        <v>11766.048000000001</v>
      </c>
      <c r="M506" s="3">
        <f t="shared" si="29"/>
        <v>2941.5119999999993</v>
      </c>
      <c r="N506">
        <f t="shared" si="30"/>
        <v>5</v>
      </c>
      <c r="O506" s="3">
        <f t="shared" si="31"/>
        <v>0</v>
      </c>
      <c r="P506" t="str" cm="1">
        <f t="array" ref="P506">_xlfn.IFS(C506&lt;18, "Under 18", C506&lt;36, "Btw 18&amp;35", C506&lt;51, "Btw 36&amp;50", C506&lt;66, "Btw 51&amp;65", C506&gt;=66," 66&amp;Above")</f>
        <v>Btw 51&amp;65</v>
      </c>
    </row>
    <row r="507" spans="1:16">
      <c r="A507" t="s">
        <v>977</v>
      </c>
      <c r="B507" t="s">
        <v>978</v>
      </c>
      <c r="C507">
        <v>52</v>
      </c>
      <c r="D507" t="s">
        <v>12</v>
      </c>
      <c r="E507" s="2">
        <v>45486</v>
      </c>
      <c r="F507" s="2">
        <v>45490</v>
      </c>
      <c r="G507" t="s">
        <v>31</v>
      </c>
      <c r="H507" t="s">
        <v>53</v>
      </c>
      <c r="I507" s="3">
        <v>5116.62</v>
      </c>
      <c r="J507" t="s">
        <v>25</v>
      </c>
      <c r="K507" s="4">
        <v>0.9</v>
      </c>
      <c r="L507" s="3">
        <f t="shared" si="28"/>
        <v>4604.9579999999996</v>
      </c>
      <c r="M507" s="3">
        <f t="shared" si="29"/>
        <v>511.66199999999986</v>
      </c>
      <c r="N507">
        <f t="shared" si="30"/>
        <v>4</v>
      </c>
      <c r="O507" s="3">
        <f t="shared" si="31"/>
        <v>0</v>
      </c>
      <c r="P507" t="str" cm="1">
        <f t="array" ref="P507">_xlfn.IFS(C507&lt;18, "Under 18", C507&lt;36, "Btw 18&amp;35", C507&lt;51, "Btw 36&amp;50", C507&lt;66, "Btw 51&amp;65", C507&gt;=66," 66&amp;Above")</f>
        <v>Btw 51&amp;65</v>
      </c>
    </row>
    <row r="508" spans="1:16">
      <c r="A508" t="s">
        <v>979</v>
      </c>
      <c r="B508" t="s">
        <v>626</v>
      </c>
      <c r="C508">
        <v>29</v>
      </c>
      <c r="D508" t="s">
        <v>18</v>
      </c>
      <c r="E508" s="2">
        <v>45510</v>
      </c>
      <c r="F508" s="2">
        <v>45517</v>
      </c>
      <c r="G508" t="s">
        <v>60</v>
      </c>
      <c r="H508" t="s">
        <v>97</v>
      </c>
      <c r="I508" s="3">
        <v>11957.78</v>
      </c>
      <c r="J508" t="s">
        <v>20</v>
      </c>
      <c r="K508" s="4">
        <v>0.8</v>
      </c>
      <c r="L508" s="3">
        <f t="shared" si="28"/>
        <v>9566.2240000000002</v>
      </c>
      <c r="M508" s="3">
        <f t="shared" si="29"/>
        <v>2391.5559999999996</v>
      </c>
      <c r="N508">
        <f t="shared" si="30"/>
        <v>7</v>
      </c>
      <c r="O508" s="3">
        <f t="shared" si="31"/>
        <v>0</v>
      </c>
      <c r="P508" t="str" cm="1">
        <f t="array" ref="P508">_xlfn.IFS(C508&lt;18, "Under 18", C508&lt;36, "Btw 18&amp;35", C508&lt;51, "Btw 36&amp;50", C508&lt;66, "Btw 51&amp;65", C508&gt;=66," 66&amp;Above")</f>
        <v>Btw 18&amp;35</v>
      </c>
    </row>
    <row r="509" spans="1:16">
      <c r="A509" t="s">
        <v>980</v>
      </c>
      <c r="B509" t="s">
        <v>136</v>
      </c>
      <c r="C509">
        <v>76</v>
      </c>
      <c r="D509" t="s">
        <v>18</v>
      </c>
      <c r="E509" s="2">
        <v>45525</v>
      </c>
      <c r="F509" s="2">
        <v>45526</v>
      </c>
      <c r="G509" t="s">
        <v>23</v>
      </c>
      <c r="H509" t="s">
        <v>28</v>
      </c>
      <c r="I509" s="3">
        <v>2237.66</v>
      </c>
      <c r="J509" t="s">
        <v>15</v>
      </c>
      <c r="K509" s="4">
        <v>0.8</v>
      </c>
      <c r="L509" s="3">
        <f t="shared" si="28"/>
        <v>1790.1279999999999</v>
      </c>
      <c r="M509" s="3">
        <f t="shared" si="29"/>
        <v>447.53199999999987</v>
      </c>
      <c r="N509">
        <f t="shared" si="30"/>
        <v>1</v>
      </c>
      <c r="O509" s="3">
        <f t="shared" si="31"/>
        <v>2237.66</v>
      </c>
      <c r="P509" t="str" cm="1">
        <f t="array" ref="P509">_xlfn.IFS(C509&lt;18, "Under 18", C509&lt;36, "Btw 18&amp;35", C509&lt;51, "Btw 36&amp;50", C509&lt;66, "Btw 51&amp;65", C509&gt;=66," 66&amp;Above")</f>
        <v xml:space="preserve"> 66&amp;Above</v>
      </c>
    </row>
    <row r="510" spans="1:16">
      <c r="A510" t="s">
        <v>981</v>
      </c>
      <c r="B510" t="s">
        <v>982</v>
      </c>
      <c r="C510">
        <v>29</v>
      </c>
      <c r="D510" t="s">
        <v>12</v>
      </c>
      <c r="E510" s="2">
        <v>45856</v>
      </c>
      <c r="F510" s="2">
        <v>45857</v>
      </c>
      <c r="G510" t="s">
        <v>31</v>
      </c>
      <c r="H510" t="s">
        <v>44</v>
      </c>
      <c r="I510" s="3">
        <v>912.18</v>
      </c>
      <c r="J510" t="s">
        <v>20</v>
      </c>
      <c r="K510" s="4">
        <v>0.5</v>
      </c>
      <c r="L510" s="3">
        <f t="shared" si="28"/>
        <v>456.09</v>
      </c>
      <c r="M510" s="3">
        <f t="shared" si="29"/>
        <v>456.09</v>
      </c>
      <c r="N510">
        <f t="shared" si="30"/>
        <v>1</v>
      </c>
      <c r="O510" s="3">
        <f t="shared" si="31"/>
        <v>0</v>
      </c>
      <c r="P510" t="str" cm="1">
        <f t="array" ref="P510">_xlfn.IFS(C510&lt;18, "Under 18", C510&lt;36, "Btw 18&amp;35", C510&lt;51, "Btw 36&amp;50", C510&lt;66, "Btw 51&amp;65", C510&gt;=66," 66&amp;Above")</f>
        <v>Btw 18&amp;35</v>
      </c>
    </row>
    <row r="511" spans="1:16">
      <c r="A511" t="s">
        <v>983</v>
      </c>
      <c r="B511" t="s">
        <v>984</v>
      </c>
      <c r="C511">
        <v>63</v>
      </c>
      <c r="D511" t="s">
        <v>18</v>
      </c>
      <c r="E511" s="2">
        <v>45666</v>
      </c>
      <c r="F511" s="2">
        <v>45667</v>
      </c>
      <c r="G511" t="s">
        <v>23</v>
      </c>
      <c r="H511" t="s">
        <v>41</v>
      </c>
      <c r="I511" s="3">
        <v>2435.08</v>
      </c>
      <c r="J511" t="s">
        <v>25</v>
      </c>
      <c r="K511" s="4">
        <v>0.6</v>
      </c>
      <c r="L511" s="3">
        <f t="shared" si="28"/>
        <v>1461.048</v>
      </c>
      <c r="M511" s="3">
        <f t="shared" si="29"/>
        <v>974.03200000000004</v>
      </c>
      <c r="N511">
        <f t="shared" si="30"/>
        <v>1</v>
      </c>
      <c r="O511" s="3">
        <f t="shared" si="31"/>
        <v>0</v>
      </c>
      <c r="P511" t="str" cm="1">
        <f t="array" ref="P511">_xlfn.IFS(C511&lt;18, "Under 18", C511&lt;36, "Btw 18&amp;35", C511&lt;51, "Btw 36&amp;50", C511&lt;66, "Btw 51&amp;65", C511&gt;=66," 66&amp;Above")</f>
        <v>Btw 51&amp;65</v>
      </c>
    </row>
    <row r="512" spans="1:16">
      <c r="A512" t="s">
        <v>985</v>
      </c>
      <c r="B512" t="s">
        <v>76</v>
      </c>
      <c r="C512">
        <v>55</v>
      </c>
      <c r="D512" t="s">
        <v>12</v>
      </c>
      <c r="E512" s="2">
        <v>45328</v>
      </c>
      <c r="F512" s="2">
        <v>45340</v>
      </c>
      <c r="G512" t="s">
        <v>60</v>
      </c>
      <c r="H512" t="s">
        <v>142</v>
      </c>
      <c r="I512" s="3">
        <v>26103.65</v>
      </c>
      <c r="J512" t="s">
        <v>25</v>
      </c>
      <c r="K512" s="4">
        <v>0.6</v>
      </c>
      <c r="L512" s="3">
        <f t="shared" si="28"/>
        <v>15662.19</v>
      </c>
      <c r="M512" s="3">
        <f t="shared" si="29"/>
        <v>10441.460000000001</v>
      </c>
      <c r="N512">
        <f t="shared" si="30"/>
        <v>12</v>
      </c>
      <c r="O512" s="3">
        <f t="shared" si="31"/>
        <v>0</v>
      </c>
      <c r="P512" t="str" cm="1">
        <f t="array" ref="P512">_xlfn.IFS(C512&lt;18, "Under 18", C512&lt;36, "Btw 18&amp;35", C512&lt;51, "Btw 36&amp;50", C512&lt;66, "Btw 51&amp;65", C512&gt;=66," 66&amp;Above")</f>
        <v>Btw 51&amp;65</v>
      </c>
    </row>
    <row r="513" spans="1:16">
      <c r="A513" t="s">
        <v>986</v>
      </c>
      <c r="B513" t="s">
        <v>987</v>
      </c>
      <c r="C513">
        <v>6</v>
      </c>
      <c r="D513" t="s">
        <v>12</v>
      </c>
      <c r="E513" s="2">
        <v>45695</v>
      </c>
      <c r="F513" s="2">
        <v>45696</v>
      </c>
      <c r="G513" t="s">
        <v>49</v>
      </c>
      <c r="H513" t="s">
        <v>50</v>
      </c>
      <c r="I513" s="3">
        <v>762.87</v>
      </c>
      <c r="J513" t="s">
        <v>15</v>
      </c>
      <c r="K513" s="4">
        <v>0.8</v>
      </c>
      <c r="L513" s="3">
        <f t="shared" si="28"/>
        <v>610.29600000000005</v>
      </c>
      <c r="M513" s="3">
        <f t="shared" si="29"/>
        <v>152.57399999999996</v>
      </c>
      <c r="N513">
        <f t="shared" si="30"/>
        <v>1</v>
      </c>
      <c r="O513" s="3">
        <f t="shared" si="31"/>
        <v>762.87</v>
      </c>
      <c r="P513" t="str" cm="1">
        <f t="array" ref="P513">_xlfn.IFS(C513&lt;18, "Under 18", C513&lt;36, "Btw 18&amp;35", C513&lt;51, "Btw 36&amp;50", C513&lt;66, "Btw 51&amp;65", C513&gt;=66," 66&amp;Above")</f>
        <v>Under 18</v>
      </c>
    </row>
    <row r="514" spans="1:16">
      <c r="A514" t="s">
        <v>988</v>
      </c>
      <c r="B514" t="s">
        <v>989</v>
      </c>
      <c r="C514">
        <v>15</v>
      </c>
      <c r="D514" t="s">
        <v>18</v>
      </c>
      <c r="E514" s="2">
        <v>45945</v>
      </c>
      <c r="F514" s="2">
        <v>45946</v>
      </c>
      <c r="G514" t="s">
        <v>49</v>
      </c>
      <c r="H514" t="s">
        <v>120</v>
      </c>
      <c r="I514" s="3">
        <v>653.57000000000005</v>
      </c>
      <c r="J514" t="s">
        <v>20</v>
      </c>
      <c r="K514" s="4">
        <v>0.7</v>
      </c>
      <c r="L514" s="3">
        <f t="shared" si="28"/>
        <v>457.49900000000002</v>
      </c>
      <c r="M514" s="3">
        <f t="shared" si="29"/>
        <v>196.07100000000005</v>
      </c>
      <c r="N514">
        <f t="shared" si="30"/>
        <v>1</v>
      </c>
      <c r="O514" s="3">
        <f t="shared" si="31"/>
        <v>0</v>
      </c>
      <c r="P514" t="str" cm="1">
        <f t="array" ref="P514">_xlfn.IFS(C514&lt;18, "Under 18", C514&lt;36, "Btw 18&amp;35", C514&lt;51, "Btw 36&amp;50", C514&lt;66, "Btw 51&amp;65", C514&gt;=66," 66&amp;Above")</f>
        <v>Under 18</v>
      </c>
    </row>
    <row r="515" spans="1:16">
      <c r="A515" t="s">
        <v>990</v>
      </c>
      <c r="B515" t="s">
        <v>466</v>
      </c>
      <c r="C515">
        <v>60</v>
      </c>
      <c r="D515" t="s">
        <v>18</v>
      </c>
      <c r="E515" s="2">
        <v>46015</v>
      </c>
      <c r="F515" s="2">
        <v>46018</v>
      </c>
      <c r="G515" t="s">
        <v>60</v>
      </c>
      <c r="H515" t="s">
        <v>97</v>
      </c>
      <c r="I515" s="3">
        <v>7007.11</v>
      </c>
      <c r="J515" t="s">
        <v>15</v>
      </c>
      <c r="K515" s="4">
        <v>0.8</v>
      </c>
      <c r="L515" s="3">
        <f t="shared" ref="L515:L578" si="32">I515*K515</f>
        <v>5605.6880000000001</v>
      </c>
      <c r="M515" s="3">
        <f t="shared" ref="M515:M578" si="33">(100%-K515)*I515</f>
        <v>1401.4219999999996</v>
      </c>
      <c r="N515">
        <f t="shared" ref="N515:N578" si="34">_xlfn.DAYS(F515,E515)</f>
        <v>3</v>
      </c>
      <c r="O515" s="3">
        <f t="shared" ref="O515:O578" si="35">IF(J515="Paid", I515, 0)</f>
        <v>7007.11</v>
      </c>
      <c r="P515" t="str" cm="1">
        <f t="array" ref="P515">_xlfn.IFS(C515&lt;18, "Under 18", C515&lt;36, "Btw 18&amp;35", C515&lt;51, "Btw 36&amp;50", C515&lt;66, "Btw 51&amp;65", C515&gt;=66," 66&amp;Above")</f>
        <v>Btw 51&amp;65</v>
      </c>
    </row>
    <row r="516" spans="1:16">
      <c r="A516" t="s">
        <v>991</v>
      </c>
      <c r="B516" t="s">
        <v>992</v>
      </c>
      <c r="C516">
        <v>66</v>
      </c>
      <c r="D516" t="s">
        <v>12</v>
      </c>
      <c r="E516" s="2">
        <v>45792</v>
      </c>
      <c r="F516" s="2">
        <v>45799</v>
      </c>
      <c r="G516" t="s">
        <v>31</v>
      </c>
      <c r="H516" t="s">
        <v>44</v>
      </c>
      <c r="I516" s="3">
        <v>9641.39</v>
      </c>
      <c r="J516" t="s">
        <v>15</v>
      </c>
      <c r="K516" s="4">
        <v>0.8</v>
      </c>
      <c r="L516" s="3">
        <f t="shared" si="32"/>
        <v>7713.1120000000001</v>
      </c>
      <c r="M516" s="3">
        <f t="shared" si="33"/>
        <v>1928.2779999999996</v>
      </c>
      <c r="N516">
        <f t="shared" si="34"/>
        <v>7</v>
      </c>
      <c r="O516" s="3">
        <f t="shared" si="35"/>
        <v>9641.39</v>
      </c>
      <c r="P516" t="str" cm="1">
        <f t="array" ref="P516">_xlfn.IFS(C516&lt;18, "Under 18", C516&lt;36, "Btw 18&amp;35", C516&lt;51, "Btw 36&amp;50", C516&lt;66, "Btw 51&amp;65", C516&gt;=66," 66&amp;Above")</f>
        <v xml:space="preserve"> 66&amp;Above</v>
      </c>
    </row>
    <row r="517" spans="1:16">
      <c r="A517" t="s">
        <v>993</v>
      </c>
      <c r="B517" t="s">
        <v>994</v>
      </c>
      <c r="C517">
        <v>41</v>
      </c>
      <c r="D517" t="s">
        <v>18</v>
      </c>
      <c r="E517" s="2">
        <v>45748</v>
      </c>
      <c r="F517" s="2">
        <v>45758</v>
      </c>
      <c r="G517" t="s">
        <v>60</v>
      </c>
      <c r="H517" t="s">
        <v>97</v>
      </c>
      <c r="I517" s="3">
        <v>20277.68</v>
      </c>
      <c r="J517" t="s">
        <v>20</v>
      </c>
      <c r="K517" s="4">
        <v>0.6</v>
      </c>
      <c r="L517" s="3">
        <f t="shared" si="32"/>
        <v>12166.608</v>
      </c>
      <c r="M517" s="3">
        <f t="shared" si="33"/>
        <v>8111.0720000000001</v>
      </c>
      <c r="N517">
        <f t="shared" si="34"/>
        <v>10</v>
      </c>
      <c r="O517" s="3">
        <f t="shared" si="35"/>
        <v>0</v>
      </c>
      <c r="P517" t="str" cm="1">
        <f t="array" ref="P517">_xlfn.IFS(C517&lt;18, "Under 18", C517&lt;36, "Btw 18&amp;35", C517&lt;51, "Btw 36&amp;50", C517&lt;66, "Btw 51&amp;65", C517&gt;=66," 66&amp;Above")</f>
        <v>Btw 36&amp;50</v>
      </c>
    </row>
    <row r="518" spans="1:16">
      <c r="A518" t="s">
        <v>995</v>
      </c>
      <c r="B518" t="s">
        <v>996</v>
      </c>
      <c r="C518">
        <v>56</v>
      </c>
      <c r="D518" t="s">
        <v>18</v>
      </c>
      <c r="E518" s="2">
        <v>45950</v>
      </c>
      <c r="F518" s="2">
        <v>45957</v>
      </c>
      <c r="G518" t="s">
        <v>13</v>
      </c>
      <c r="H518" t="s">
        <v>111</v>
      </c>
      <c r="I518" s="3">
        <v>10406.790000000001</v>
      </c>
      <c r="J518" t="s">
        <v>20</v>
      </c>
      <c r="K518" s="4">
        <v>0.7</v>
      </c>
      <c r="L518" s="3">
        <f t="shared" si="32"/>
        <v>7284.7529999999997</v>
      </c>
      <c r="M518" s="3">
        <f t="shared" si="33"/>
        <v>3122.0370000000007</v>
      </c>
      <c r="N518">
        <f t="shared" si="34"/>
        <v>7</v>
      </c>
      <c r="O518" s="3">
        <f t="shared" si="35"/>
        <v>0</v>
      </c>
      <c r="P518" t="str" cm="1">
        <f t="array" ref="P518">_xlfn.IFS(C518&lt;18, "Under 18", C518&lt;36, "Btw 18&amp;35", C518&lt;51, "Btw 36&amp;50", C518&lt;66, "Btw 51&amp;65", C518&gt;=66," 66&amp;Above")</f>
        <v>Btw 51&amp;65</v>
      </c>
    </row>
    <row r="519" spans="1:16">
      <c r="A519" t="s">
        <v>997</v>
      </c>
      <c r="B519" t="s">
        <v>998</v>
      </c>
      <c r="C519">
        <v>25</v>
      </c>
      <c r="D519" t="s">
        <v>12</v>
      </c>
      <c r="E519" s="2">
        <v>45768</v>
      </c>
      <c r="F519" s="2">
        <v>45771</v>
      </c>
      <c r="G519" t="s">
        <v>23</v>
      </c>
      <c r="H519" t="s">
        <v>333</v>
      </c>
      <c r="I519" s="3">
        <v>5735.73</v>
      </c>
      <c r="J519" t="s">
        <v>20</v>
      </c>
      <c r="K519" s="4">
        <v>0.8</v>
      </c>
      <c r="L519" s="3">
        <f t="shared" si="32"/>
        <v>4588.5839999999998</v>
      </c>
      <c r="M519" s="3">
        <f t="shared" si="33"/>
        <v>1147.1459999999997</v>
      </c>
      <c r="N519">
        <f t="shared" si="34"/>
        <v>3</v>
      </c>
      <c r="O519" s="3">
        <f t="shared" si="35"/>
        <v>0</v>
      </c>
      <c r="P519" t="str" cm="1">
        <f t="array" ref="P519">_xlfn.IFS(C519&lt;18, "Under 18", C519&lt;36, "Btw 18&amp;35", C519&lt;51, "Btw 36&amp;50", C519&lt;66, "Btw 51&amp;65", C519&gt;=66," 66&amp;Above")</f>
        <v>Btw 18&amp;35</v>
      </c>
    </row>
    <row r="520" spans="1:16">
      <c r="A520" t="s">
        <v>999</v>
      </c>
      <c r="B520" t="s">
        <v>706</v>
      </c>
      <c r="C520">
        <v>38</v>
      </c>
      <c r="D520" t="s">
        <v>12</v>
      </c>
      <c r="E520" s="2">
        <v>45479</v>
      </c>
      <c r="F520" s="2">
        <v>45482</v>
      </c>
      <c r="G520" t="s">
        <v>31</v>
      </c>
      <c r="H520" t="s">
        <v>53</v>
      </c>
      <c r="I520" s="3">
        <v>4420.13</v>
      </c>
      <c r="J520" t="s">
        <v>15</v>
      </c>
      <c r="K520" s="4">
        <v>0.9</v>
      </c>
      <c r="L520" s="3">
        <f t="shared" si="32"/>
        <v>3978.1170000000002</v>
      </c>
      <c r="M520" s="3">
        <f t="shared" si="33"/>
        <v>442.01299999999992</v>
      </c>
      <c r="N520">
        <f t="shared" si="34"/>
        <v>3</v>
      </c>
      <c r="O520" s="3">
        <f t="shared" si="35"/>
        <v>4420.13</v>
      </c>
      <c r="P520" t="str" cm="1">
        <f t="array" ref="P520">_xlfn.IFS(C520&lt;18, "Under 18", C520&lt;36, "Btw 18&amp;35", C520&lt;51, "Btw 36&amp;50", C520&lt;66, "Btw 51&amp;65", C520&gt;=66," 66&amp;Above")</f>
        <v>Btw 36&amp;50</v>
      </c>
    </row>
    <row r="521" spans="1:16">
      <c r="A521" t="s">
        <v>1000</v>
      </c>
      <c r="B521" t="s">
        <v>1001</v>
      </c>
      <c r="C521">
        <v>56</v>
      </c>
      <c r="D521" t="s">
        <v>18</v>
      </c>
      <c r="E521" s="2">
        <v>45888</v>
      </c>
      <c r="F521" s="2">
        <v>45894</v>
      </c>
      <c r="G521" t="s">
        <v>31</v>
      </c>
      <c r="H521" t="s">
        <v>114</v>
      </c>
      <c r="I521" s="3">
        <v>4034.24</v>
      </c>
      <c r="J521" t="s">
        <v>20</v>
      </c>
      <c r="K521" s="4">
        <v>0.9</v>
      </c>
      <c r="L521" s="3">
        <f t="shared" si="32"/>
        <v>3630.8159999999998</v>
      </c>
      <c r="M521" s="3">
        <f t="shared" si="33"/>
        <v>403.42399999999986</v>
      </c>
      <c r="N521">
        <f t="shared" si="34"/>
        <v>6</v>
      </c>
      <c r="O521" s="3">
        <f t="shared" si="35"/>
        <v>0</v>
      </c>
      <c r="P521" t="str" cm="1">
        <f t="array" ref="P521">_xlfn.IFS(C521&lt;18, "Under 18", C521&lt;36, "Btw 18&amp;35", C521&lt;51, "Btw 36&amp;50", C521&lt;66, "Btw 51&amp;65", C521&gt;=66," 66&amp;Above")</f>
        <v>Btw 51&amp;65</v>
      </c>
    </row>
    <row r="522" spans="1:16">
      <c r="A522" t="s">
        <v>1002</v>
      </c>
      <c r="B522" t="s">
        <v>1003</v>
      </c>
      <c r="C522">
        <v>53</v>
      </c>
      <c r="D522" t="s">
        <v>12</v>
      </c>
      <c r="E522" s="2">
        <v>45681</v>
      </c>
      <c r="F522" s="2">
        <v>45692</v>
      </c>
      <c r="G522" t="s">
        <v>70</v>
      </c>
      <c r="H522" t="s">
        <v>71</v>
      </c>
      <c r="I522" s="3">
        <v>18224.23</v>
      </c>
      <c r="J522" t="s">
        <v>15</v>
      </c>
      <c r="K522" s="4">
        <v>0.8</v>
      </c>
      <c r="L522" s="3">
        <f t="shared" si="32"/>
        <v>14579.384</v>
      </c>
      <c r="M522" s="3">
        <f t="shared" si="33"/>
        <v>3644.8459999999991</v>
      </c>
      <c r="N522">
        <f t="shared" si="34"/>
        <v>11</v>
      </c>
      <c r="O522" s="3">
        <f t="shared" si="35"/>
        <v>18224.23</v>
      </c>
      <c r="P522" t="str" cm="1">
        <f t="array" ref="P522">_xlfn.IFS(C522&lt;18, "Under 18", C522&lt;36, "Btw 18&amp;35", C522&lt;51, "Btw 36&amp;50", C522&lt;66, "Btw 51&amp;65", C522&gt;=66," 66&amp;Above")</f>
        <v>Btw 51&amp;65</v>
      </c>
    </row>
    <row r="523" spans="1:16">
      <c r="A523" t="s">
        <v>1004</v>
      </c>
      <c r="B523" t="s">
        <v>1005</v>
      </c>
      <c r="C523">
        <v>21</v>
      </c>
      <c r="D523" t="s">
        <v>12</v>
      </c>
      <c r="E523" s="2">
        <v>45495</v>
      </c>
      <c r="F523" s="2">
        <v>45502</v>
      </c>
      <c r="G523" t="s">
        <v>31</v>
      </c>
      <c r="H523" t="s">
        <v>114</v>
      </c>
      <c r="I523" s="3">
        <v>4562.96</v>
      </c>
      <c r="J523" t="s">
        <v>15</v>
      </c>
      <c r="K523" s="4">
        <v>0.9</v>
      </c>
      <c r="L523" s="3">
        <f t="shared" si="32"/>
        <v>4106.6639999999998</v>
      </c>
      <c r="M523" s="3">
        <f t="shared" si="33"/>
        <v>456.29599999999988</v>
      </c>
      <c r="N523">
        <f t="shared" si="34"/>
        <v>7</v>
      </c>
      <c r="O523" s="3">
        <f t="shared" si="35"/>
        <v>4562.96</v>
      </c>
      <c r="P523" t="str" cm="1">
        <f t="array" ref="P523">_xlfn.IFS(C523&lt;18, "Under 18", C523&lt;36, "Btw 18&amp;35", C523&lt;51, "Btw 36&amp;50", C523&lt;66, "Btw 51&amp;65", C523&gt;=66," 66&amp;Above")</f>
        <v>Btw 18&amp;35</v>
      </c>
    </row>
    <row r="524" spans="1:16">
      <c r="A524" t="s">
        <v>1006</v>
      </c>
      <c r="B524" t="s">
        <v>239</v>
      </c>
      <c r="C524">
        <v>1</v>
      </c>
      <c r="D524" t="s">
        <v>12</v>
      </c>
      <c r="E524" s="2">
        <v>45596</v>
      </c>
      <c r="F524" s="2">
        <v>45601</v>
      </c>
      <c r="G524" t="s">
        <v>49</v>
      </c>
      <c r="H524" t="s">
        <v>120</v>
      </c>
      <c r="I524" s="3">
        <v>7560.63</v>
      </c>
      <c r="J524" t="s">
        <v>15</v>
      </c>
      <c r="K524" s="4">
        <v>0</v>
      </c>
      <c r="L524" s="3">
        <f t="shared" si="32"/>
        <v>0</v>
      </c>
      <c r="M524" s="3">
        <f t="shared" si="33"/>
        <v>7560.63</v>
      </c>
      <c r="N524">
        <f t="shared" si="34"/>
        <v>5</v>
      </c>
      <c r="O524" s="3">
        <f t="shared" si="35"/>
        <v>7560.63</v>
      </c>
      <c r="P524" t="str" cm="1">
        <f t="array" ref="P524">_xlfn.IFS(C524&lt;18, "Under 18", C524&lt;36, "Btw 18&amp;35", C524&lt;51, "Btw 36&amp;50", C524&lt;66, "Btw 51&amp;65", C524&gt;=66," 66&amp;Above")</f>
        <v>Under 18</v>
      </c>
    </row>
    <row r="525" spans="1:16">
      <c r="A525" t="s">
        <v>1007</v>
      </c>
      <c r="B525" t="s">
        <v>712</v>
      </c>
      <c r="C525">
        <v>21</v>
      </c>
      <c r="D525" t="s">
        <v>18</v>
      </c>
      <c r="E525" s="2">
        <v>45853</v>
      </c>
      <c r="F525" s="2">
        <v>45854</v>
      </c>
      <c r="G525" t="s">
        <v>31</v>
      </c>
      <c r="H525" t="s">
        <v>44</v>
      </c>
      <c r="I525" s="3">
        <v>605</v>
      </c>
      <c r="J525" t="s">
        <v>15</v>
      </c>
      <c r="K525" s="4">
        <v>0.8</v>
      </c>
      <c r="L525" s="3">
        <f t="shared" si="32"/>
        <v>484</v>
      </c>
      <c r="M525" s="3">
        <f t="shared" si="33"/>
        <v>120.99999999999997</v>
      </c>
      <c r="N525">
        <f t="shared" si="34"/>
        <v>1</v>
      </c>
      <c r="O525" s="3">
        <f t="shared" si="35"/>
        <v>605</v>
      </c>
      <c r="P525" t="str" cm="1">
        <f t="array" ref="P525">_xlfn.IFS(C525&lt;18, "Under 18", C525&lt;36, "Btw 18&amp;35", C525&lt;51, "Btw 36&amp;50", C525&lt;66, "Btw 51&amp;65", C525&gt;=66," 66&amp;Above")</f>
        <v>Btw 18&amp;35</v>
      </c>
    </row>
    <row r="526" spans="1:16">
      <c r="A526" t="s">
        <v>1008</v>
      </c>
      <c r="B526" t="s">
        <v>1009</v>
      </c>
      <c r="C526">
        <v>77</v>
      </c>
      <c r="D526" t="s">
        <v>18</v>
      </c>
      <c r="E526" s="2">
        <v>45682</v>
      </c>
      <c r="F526" s="2">
        <v>45683</v>
      </c>
      <c r="G526" t="s">
        <v>23</v>
      </c>
      <c r="H526" t="s">
        <v>204</v>
      </c>
      <c r="I526" s="3">
        <v>899.35</v>
      </c>
      <c r="J526" t="s">
        <v>20</v>
      </c>
      <c r="K526" s="4">
        <v>0.7</v>
      </c>
      <c r="L526" s="3">
        <f t="shared" si="32"/>
        <v>629.54499999999996</v>
      </c>
      <c r="M526" s="3">
        <f t="shared" si="33"/>
        <v>269.80500000000006</v>
      </c>
      <c r="N526">
        <f t="shared" si="34"/>
        <v>1</v>
      </c>
      <c r="O526" s="3">
        <f t="shared" si="35"/>
        <v>0</v>
      </c>
      <c r="P526" t="str" cm="1">
        <f t="array" ref="P526">_xlfn.IFS(C526&lt;18, "Under 18", C526&lt;36, "Btw 18&amp;35", C526&lt;51, "Btw 36&amp;50", C526&lt;66, "Btw 51&amp;65", C526&gt;=66," 66&amp;Above")</f>
        <v xml:space="preserve"> 66&amp;Above</v>
      </c>
    </row>
    <row r="527" spans="1:16">
      <c r="A527" t="s">
        <v>1010</v>
      </c>
      <c r="B527" t="s">
        <v>1011</v>
      </c>
      <c r="C527">
        <v>54</v>
      </c>
      <c r="D527" t="s">
        <v>12</v>
      </c>
      <c r="E527" s="2">
        <v>45350</v>
      </c>
      <c r="F527" s="2">
        <v>45355</v>
      </c>
      <c r="G527" t="s">
        <v>13</v>
      </c>
      <c r="H527" t="s">
        <v>14</v>
      </c>
      <c r="I527" s="3">
        <v>13642.77</v>
      </c>
      <c r="J527" t="s">
        <v>25</v>
      </c>
      <c r="K527" s="4">
        <v>0.8</v>
      </c>
      <c r="L527" s="3">
        <f t="shared" si="32"/>
        <v>10914.216</v>
      </c>
      <c r="M527" s="3">
        <f t="shared" si="33"/>
        <v>2728.5539999999996</v>
      </c>
      <c r="N527">
        <f t="shared" si="34"/>
        <v>5</v>
      </c>
      <c r="O527" s="3">
        <f t="shared" si="35"/>
        <v>0</v>
      </c>
      <c r="P527" t="str" cm="1">
        <f t="array" ref="P527">_xlfn.IFS(C527&lt;18, "Under 18", C527&lt;36, "Btw 18&amp;35", C527&lt;51, "Btw 36&amp;50", C527&lt;66, "Btw 51&amp;65", C527&gt;=66," 66&amp;Above")</f>
        <v>Btw 51&amp;65</v>
      </c>
    </row>
    <row r="528" spans="1:16">
      <c r="A528" t="s">
        <v>1012</v>
      </c>
      <c r="B528" t="s">
        <v>478</v>
      </c>
      <c r="C528">
        <v>49</v>
      </c>
      <c r="D528" t="s">
        <v>18</v>
      </c>
      <c r="E528" s="2">
        <v>45543</v>
      </c>
      <c r="F528" s="2">
        <v>45544</v>
      </c>
      <c r="G528" t="s">
        <v>31</v>
      </c>
      <c r="H528" t="s">
        <v>87</v>
      </c>
      <c r="I528" s="3">
        <v>1419.55</v>
      </c>
      <c r="J528" t="s">
        <v>25</v>
      </c>
      <c r="K528" s="4">
        <v>0.9</v>
      </c>
      <c r="L528" s="3">
        <f t="shared" si="32"/>
        <v>1277.595</v>
      </c>
      <c r="M528" s="3">
        <f t="shared" si="33"/>
        <v>141.95499999999996</v>
      </c>
      <c r="N528">
        <f t="shared" si="34"/>
        <v>1</v>
      </c>
      <c r="O528" s="3">
        <f t="shared" si="35"/>
        <v>0</v>
      </c>
      <c r="P528" t="str" cm="1">
        <f t="array" ref="P528">_xlfn.IFS(C528&lt;18, "Under 18", C528&lt;36, "Btw 18&amp;35", C528&lt;51, "Btw 36&amp;50", C528&lt;66, "Btw 51&amp;65", C528&gt;=66," 66&amp;Above")</f>
        <v>Btw 36&amp;50</v>
      </c>
    </row>
    <row r="529" spans="1:16">
      <c r="A529" t="s">
        <v>1013</v>
      </c>
      <c r="B529" t="s">
        <v>1014</v>
      </c>
      <c r="C529">
        <v>74</v>
      </c>
      <c r="D529" t="s">
        <v>12</v>
      </c>
      <c r="E529" s="2">
        <v>45908</v>
      </c>
      <c r="F529" s="2">
        <v>45913</v>
      </c>
      <c r="G529" t="s">
        <v>31</v>
      </c>
      <c r="H529" t="s">
        <v>32</v>
      </c>
      <c r="I529" s="3">
        <v>4915.01</v>
      </c>
      <c r="J529" t="s">
        <v>15</v>
      </c>
      <c r="K529" s="4">
        <v>0.9</v>
      </c>
      <c r="L529" s="3">
        <f t="shared" si="32"/>
        <v>4423.509</v>
      </c>
      <c r="M529" s="3">
        <f t="shared" si="33"/>
        <v>491.50099999999992</v>
      </c>
      <c r="N529">
        <f t="shared" si="34"/>
        <v>5</v>
      </c>
      <c r="O529" s="3">
        <f t="shared" si="35"/>
        <v>4915.01</v>
      </c>
      <c r="P529" t="str" cm="1">
        <f t="array" ref="P529">_xlfn.IFS(C529&lt;18, "Under 18", C529&lt;36, "Btw 18&amp;35", C529&lt;51, "Btw 36&amp;50", C529&lt;66, "Btw 51&amp;65", C529&gt;=66," 66&amp;Above")</f>
        <v xml:space="preserve"> 66&amp;Above</v>
      </c>
    </row>
    <row r="530" spans="1:16">
      <c r="A530" t="s">
        <v>1015</v>
      </c>
      <c r="B530" t="s">
        <v>1016</v>
      </c>
      <c r="C530">
        <v>24</v>
      </c>
      <c r="D530" t="s">
        <v>18</v>
      </c>
      <c r="E530" s="2">
        <v>45451</v>
      </c>
      <c r="F530" s="2">
        <v>45452</v>
      </c>
      <c r="G530" t="s">
        <v>31</v>
      </c>
      <c r="H530" t="s">
        <v>114</v>
      </c>
      <c r="I530" s="3">
        <v>879.73</v>
      </c>
      <c r="J530" t="s">
        <v>15</v>
      </c>
      <c r="K530" s="4">
        <v>0.8</v>
      </c>
      <c r="L530" s="3">
        <f t="shared" si="32"/>
        <v>703.78400000000011</v>
      </c>
      <c r="M530" s="3">
        <f t="shared" si="33"/>
        <v>175.94599999999997</v>
      </c>
      <c r="N530">
        <f t="shared" si="34"/>
        <v>1</v>
      </c>
      <c r="O530" s="3">
        <f t="shared" si="35"/>
        <v>879.73</v>
      </c>
      <c r="P530" t="str" cm="1">
        <f t="array" ref="P530">_xlfn.IFS(C530&lt;18, "Under 18", C530&lt;36, "Btw 18&amp;35", C530&lt;51, "Btw 36&amp;50", C530&lt;66, "Btw 51&amp;65", C530&gt;=66," 66&amp;Above")</f>
        <v>Btw 18&amp;35</v>
      </c>
    </row>
    <row r="531" spans="1:16">
      <c r="A531" t="s">
        <v>1017</v>
      </c>
      <c r="B531" t="s">
        <v>1018</v>
      </c>
      <c r="C531">
        <v>78</v>
      </c>
      <c r="D531" t="s">
        <v>18</v>
      </c>
      <c r="E531" s="2">
        <v>45496</v>
      </c>
      <c r="F531" s="2">
        <v>45499</v>
      </c>
      <c r="G531" t="s">
        <v>23</v>
      </c>
      <c r="H531" t="s">
        <v>28</v>
      </c>
      <c r="I531" s="3">
        <v>4924.09</v>
      </c>
      <c r="J531" t="s">
        <v>15</v>
      </c>
      <c r="K531" s="4">
        <v>0.7</v>
      </c>
      <c r="L531" s="3">
        <f t="shared" si="32"/>
        <v>3446.8629999999998</v>
      </c>
      <c r="M531" s="3">
        <f t="shared" si="33"/>
        <v>1477.2270000000003</v>
      </c>
      <c r="N531">
        <f t="shared" si="34"/>
        <v>3</v>
      </c>
      <c r="O531" s="3">
        <f t="shared" si="35"/>
        <v>4924.09</v>
      </c>
      <c r="P531" t="str" cm="1">
        <f t="array" ref="P531">_xlfn.IFS(C531&lt;18, "Under 18", C531&lt;36, "Btw 18&amp;35", C531&lt;51, "Btw 36&amp;50", C531&lt;66, "Btw 51&amp;65", C531&gt;=66," 66&amp;Above")</f>
        <v xml:space="preserve"> 66&amp;Above</v>
      </c>
    </row>
    <row r="532" spans="1:16">
      <c r="A532" t="s">
        <v>1019</v>
      </c>
      <c r="B532" t="s">
        <v>746</v>
      </c>
      <c r="C532">
        <v>34</v>
      </c>
      <c r="D532" t="s">
        <v>12</v>
      </c>
      <c r="E532" s="2">
        <v>45963</v>
      </c>
      <c r="F532" s="2">
        <v>45973</v>
      </c>
      <c r="G532" t="s">
        <v>60</v>
      </c>
      <c r="H532" t="s">
        <v>61</v>
      </c>
      <c r="I532" s="3">
        <v>13077.22</v>
      </c>
      <c r="J532" t="s">
        <v>25</v>
      </c>
      <c r="K532" s="4">
        <v>0.6</v>
      </c>
      <c r="L532" s="3">
        <f t="shared" si="32"/>
        <v>7846.3319999999994</v>
      </c>
      <c r="M532" s="3">
        <f t="shared" si="33"/>
        <v>5230.8879999999999</v>
      </c>
      <c r="N532">
        <f t="shared" si="34"/>
        <v>10</v>
      </c>
      <c r="O532" s="3">
        <f t="shared" si="35"/>
        <v>0</v>
      </c>
      <c r="P532" t="str" cm="1">
        <f t="array" ref="P532">_xlfn.IFS(C532&lt;18, "Under 18", C532&lt;36, "Btw 18&amp;35", C532&lt;51, "Btw 36&amp;50", C532&lt;66, "Btw 51&amp;65", C532&gt;=66," 66&amp;Above")</f>
        <v>Btw 18&amp;35</v>
      </c>
    </row>
    <row r="533" spans="1:16">
      <c r="A533" t="s">
        <v>1020</v>
      </c>
      <c r="B533" t="s">
        <v>490</v>
      </c>
      <c r="C533">
        <v>45</v>
      </c>
      <c r="D533" t="s">
        <v>12</v>
      </c>
      <c r="E533" s="2">
        <v>45941</v>
      </c>
      <c r="F533" s="2">
        <v>45948</v>
      </c>
      <c r="G533" t="s">
        <v>31</v>
      </c>
      <c r="H533" t="s">
        <v>44</v>
      </c>
      <c r="I533" s="3">
        <v>5438.75</v>
      </c>
      <c r="J533" t="s">
        <v>15</v>
      </c>
      <c r="K533" s="4">
        <v>0.8</v>
      </c>
      <c r="L533" s="3">
        <f t="shared" si="32"/>
        <v>4351</v>
      </c>
      <c r="M533" s="3">
        <f t="shared" si="33"/>
        <v>1087.7499999999998</v>
      </c>
      <c r="N533">
        <f t="shared" si="34"/>
        <v>7</v>
      </c>
      <c r="O533" s="3">
        <f t="shared" si="35"/>
        <v>5438.75</v>
      </c>
      <c r="P533" t="str" cm="1">
        <f t="array" ref="P533">_xlfn.IFS(C533&lt;18, "Under 18", C533&lt;36, "Btw 18&amp;35", C533&lt;51, "Btw 36&amp;50", C533&lt;66, "Btw 51&amp;65", C533&gt;=66," 66&amp;Above")</f>
        <v>Btw 36&amp;50</v>
      </c>
    </row>
    <row r="534" spans="1:16">
      <c r="A534" t="s">
        <v>1021</v>
      </c>
      <c r="B534" t="s">
        <v>1022</v>
      </c>
      <c r="C534">
        <v>59</v>
      </c>
      <c r="D534" t="s">
        <v>18</v>
      </c>
      <c r="E534" s="2">
        <v>45592</v>
      </c>
      <c r="F534" s="2">
        <v>45600</v>
      </c>
      <c r="G534" t="s">
        <v>13</v>
      </c>
      <c r="H534" t="s">
        <v>19</v>
      </c>
      <c r="I534" s="3">
        <v>23659.1</v>
      </c>
      <c r="J534" t="s">
        <v>20</v>
      </c>
      <c r="K534" s="4">
        <v>0.9</v>
      </c>
      <c r="L534" s="3">
        <f t="shared" si="32"/>
        <v>21293.19</v>
      </c>
      <c r="M534" s="3">
        <f t="shared" si="33"/>
        <v>2365.9099999999994</v>
      </c>
      <c r="N534">
        <f t="shared" si="34"/>
        <v>8</v>
      </c>
      <c r="O534" s="3">
        <f t="shared" si="35"/>
        <v>0</v>
      </c>
      <c r="P534" t="str" cm="1">
        <f t="array" ref="P534">_xlfn.IFS(C534&lt;18, "Under 18", C534&lt;36, "Btw 18&amp;35", C534&lt;51, "Btw 36&amp;50", C534&lt;66, "Btw 51&amp;65", C534&gt;=66," 66&amp;Above")</f>
        <v>Btw 51&amp;65</v>
      </c>
    </row>
    <row r="535" spans="1:16">
      <c r="A535" t="s">
        <v>1023</v>
      </c>
      <c r="B535" t="s">
        <v>1024</v>
      </c>
      <c r="C535">
        <v>80</v>
      </c>
      <c r="D535" t="s">
        <v>12</v>
      </c>
      <c r="E535" s="2">
        <v>45490</v>
      </c>
      <c r="F535" s="2">
        <v>45495</v>
      </c>
      <c r="G535" t="s">
        <v>13</v>
      </c>
      <c r="H535" t="s">
        <v>165</v>
      </c>
      <c r="I535" s="3">
        <v>10323.56</v>
      </c>
      <c r="J535" t="s">
        <v>15</v>
      </c>
      <c r="K535" s="4">
        <v>0.7</v>
      </c>
      <c r="L535" s="3">
        <f t="shared" si="32"/>
        <v>7226.4919999999993</v>
      </c>
      <c r="M535" s="3">
        <f t="shared" si="33"/>
        <v>3097.0680000000002</v>
      </c>
      <c r="N535">
        <f t="shared" si="34"/>
        <v>5</v>
      </c>
      <c r="O535" s="3">
        <f t="shared" si="35"/>
        <v>10323.56</v>
      </c>
      <c r="P535" t="str" cm="1">
        <f t="array" ref="P535">_xlfn.IFS(C535&lt;18, "Under 18", C535&lt;36, "Btw 18&amp;35", C535&lt;51, "Btw 36&amp;50", C535&lt;66, "Btw 51&amp;65", C535&gt;=66," 66&amp;Above")</f>
        <v xml:space="preserve"> 66&amp;Above</v>
      </c>
    </row>
    <row r="536" spans="1:16">
      <c r="A536" t="s">
        <v>1025</v>
      </c>
      <c r="B536" t="s">
        <v>1026</v>
      </c>
      <c r="C536">
        <v>53</v>
      </c>
      <c r="D536" t="s">
        <v>12</v>
      </c>
      <c r="E536" s="2">
        <v>45643</v>
      </c>
      <c r="F536" s="2">
        <v>45652</v>
      </c>
      <c r="G536" t="s">
        <v>60</v>
      </c>
      <c r="H536" t="s">
        <v>142</v>
      </c>
      <c r="I536" s="3">
        <v>23629.360000000001</v>
      </c>
      <c r="J536" t="s">
        <v>15</v>
      </c>
      <c r="K536" s="4">
        <v>0.9</v>
      </c>
      <c r="L536" s="3">
        <f t="shared" si="32"/>
        <v>21266.424000000003</v>
      </c>
      <c r="M536" s="3">
        <f t="shared" si="33"/>
        <v>2362.9359999999997</v>
      </c>
      <c r="N536">
        <f t="shared" si="34"/>
        <v>9</v>
      </c>
      <c r="O536" s="3">
        <f t="shared" si="35"/>
        <v>23629.360000000001</v>
      </c>
      <c r="P536" t="str" cm="1">
        <f t="array" ref="P536">_xlfn.IFS(C536&lt;18, "Under 18", C536&lt;36, "Btw 18&amp;35", C536&lt;51, "Btw 36&amp;50", C536&lt;66, "Btw 51&amp;65", C536&gt;=66," 66&amp;Above")</f>
        <v>Btw 51&amp;65</v>
      </c>
    </row>
    <row r="537" spans="1:16">
      <c r="A537" t="s">
        <v>1027</v>
      </c>
      <c r="B537" t="s">
        <v>1028</v>
      </c>
      <c r="C537">
        <v>65</v>
      </c>
      <c r="D537" t="s">
        <v>12</v>
      </c>
      <c r="E537" s="2">
        <v>45359</v>
      </c>
      <c r="F537" s="2">
        <v>45365</v>
      </c>
      <c r="G537" t="s">
        <v>31</v>
      </c>
      <c r="H537" t="s">
        <v>114</v>
      </c>
      <c r="I537" s="3">
        <v>7474.49</v>
      </c>
      <c r="J537" t="s">
        <v>15</v>
      </c>
      <c r="K537" s="4">
        <v>0.7</v>
      </c>
      <c r="L537" s="3">
        <f t="shared" si="32"/>
        <v>5232.1429999999991</v>
      </c>
      <c r="M537" s="3">
        <f t="shared" si="33"/>
        <v>2242.3470000000002</v>
      </c>
      <c r="N537">
        <f t="shared" si="34"/>
        <v>6</v>
      </c>
      <c r="O537" s="3">
        <f t="shared" si="35"/>
        <v>7474.49</v>
      </c>
      <c r="P537" t="str" cm="1">
        <f t="array" ref="P537">_xlfn.IFS(C537&lt;18, "Under 18", C537&lt;36, "Btw 18&amp;35", C537&lt;51, "Btw 36&amp;50", C537&lt;66, "Btw 51&amp;65", C537&gt;=66," 66&amp;Above")</f>
        <v>Btw 51&amp;65</v>
      </c>
    </row>
    <row r="538" spans="1:16">
      <c r="A538" t="s">
        <v>1029</v>
      </c>
      <c r="B538" t="s">
        <v>1030</v>
      </c>
      <c r="C538">
        <v>46</v>
      </c>
      <c r="D538" t="s">
        <v>18</v>
      </c>
      <c r="E538" s="2">
        <v>45804</v>
      </c>
      <c r="F538" s="2">
        <v>45807</v>
      </c>
      <c r="G538" t="s">
        <v>23</v>
      </c>
      <c r="H538" t="s">
        <v>221</v>
      </c>
      <c r="I538" s="3">
        <v>6062.52</v>
      </c>
      <c r="J538" t="s">
        <v>15</v>
      </c>
      <c r="K538" s="4">
        <v>0.9</v>
      </c>
      <c r="L538" s="3">
        <f t="shared" si="32"/>
        <v>5456.2680000000009</v>
      </c>
      <c r="M538" s="3">
        <f t="shared" si="33"/>
        <v>606.25199999999995</v>
      </c>
      <c r="N538">
        <f t="shared" si="34"/>
        <v>3</v>
      </c>
      <c r="O538" s="3">
        <f t="shared" si="35"/>
        <v>6062.52</v>
      </c>
      <c r="P538" t="str" cm="1">
        <f t="array" ref="P538">_xlfn.IFS(C538&lt;18, "Under 18", C538&lt;36, "Btw 18&amp;35", C538&lt;51, "Btw 36&amp;50", C538&lt;66, "Btw 51&amp;65", C538&gt;=66," 66&amp;Above")</f>
        <v>Btw 36&amp;50</v>
      </c>
    </row>
    <row r="539" spans="1:16">
      <c r="A539" t="s">
        <v>1031</v>
      </c>
      <c r="B539" t="s">
        <v>1032</v>
      </c>
      <c r="C539">
        <v>19</v>
      </c>
      <c r="D539" t="s">
        <v>18</v>
      </c>
      <c r="E539" s="2">
        <v>45472</v>
      </c>
      <c r="F539" s="2">
        <v>45474</v>
      </c>
      <c r="G539" t="s">
        <v>23</v>
      </c>
      <c r="H539" t="s">
        <v>82</v>
      </c>
      <c r="I539" s="3">
        <v>4748.93</v>
      </c>
      <c r="J539" t="s">
        <v>15</v>
      </c>
      <c r="K539" s="4">
        <v>0</v>
      </c>
      <c r="L539" s="3">
        <f t="shared" si="32"/>
        <v>0</v>
      </c>
      <c r="M539" s="3">
        <f t="shared" si="33"/>
        <v>4748.93</v>
      </c>
      <c r="N539">
        <f t="shared" si="34"/>
        <v>2</v>
      </c>
      <c r="O539" s="3">
        <f t="shared" si="35"/>
        <v>4748.93</v>
      </c>
      <c r="P539" t="str" cm="1">
        <f t="array" ref="P539">_xlfn.IFS(C539&lt;18, "Under 18", C539&lt;36, "Btw 18&amp;35", C539&lt;51, "Btw 36&amp;50", C539&lt;66, "Btw 51&amp;65", C539&gt;=66," 66&amp;Above")</f>
        <v>Btw 18&amp;35</v>
      </c>
    </row>
    <row r="540" spans="1:16">
      <c r="A540" t="s">
        <v>1033</v>
      </c>
      <c r="B540" t="s">
        <v>1034</v>
      </c>
      <c r="C540">
        <v>12</v>
      </c>
      <c r="D540" t="s">
        <v>12</v>
      </c>
      <c r="E540" s="2">
        <v>45787</v>
      </c>
      <c r="F540" s="2">
        <v>45791</v>
      </c>
      <c r="G540" t="s">
        <v>49</v>
      </c>
      <c r="H540" t="s">
        <v>117</v>
      </c>
      <c r="I540" s="3">
        <v>5993.64</v>
      </c>
      <c r="J540" t="s">
        <v>25</v>
      </c>
      <c r="K540" s="4">
        <v>0</v>
      </c>
      <c r="L540" s="3">
        <f t="shared" si="32"/>
        <v>0</v>
      </c>
      <c r="M540" s="3">
        <f t="shared" si="33"/>
        <v>5993.64</v>
      </c>
      <c r="N540">
        <f t="shared" si="34"/>
        <v>4</v>
      </c>
      <c r="O540" s="3">
        <f t="shared" si="35"/>
        <v>0</v>
      </c>
      <c r="P540" t="str" cm="1">
        <f t="array" ref="P540">_xlfn.IFS(C540&lt;18, "Under 18", C540&lt;36, "Btw 18&amp;35", C540&lt;51, "Btw 36&amp;50", C540&lt;66, "Btw 51&amp;65", C540&gt;=66," 66&amp;Above")</f>
        <v>Under 18</v>
      </c>
    </row>
    <row r="541" spans="1:16">
      <c r="A541" t="s">
        <v>1035</v>
      </c>
      <c r="B541" t="s">
        <v>1036</v>
      </c>
      <c r="C541">
        <v>49</v>
      </c>
      <c r="D541" t="s">
        <v>12</v>
      </c>
      <c r="E541" s="2">
        <v>45981</v>
      </c>
      <c r="F541" s="2">
        <v>45983</v>
      </c>
      <c r="G541" t="s">
        <v>31</v>
      </c>
      <c r="H541" t="s">
        <v>44</v>
      </c>
      <c r="I541" s="3">
        <v>1129.2</v>
      </c>
      <c r="J541" t="s">
        <v>15</v>
      </c>
      <c r="K541" s="4">
        <v>0.8</v>
      </c>
      <c r="L541" s="3">
        <f t="shared" si="32"/>
        <v>903.36000000000013</v>
      </c>
      <c r="M541" s="3">
        <f t="shared" si="33"/>
        <v>225.83999999999995</v>
      </c>
      <c r="N541">
        <f t="shared" si="34"/>
        <v>2</v>
      </c>
      <c r="O541" s="3">
        <f t="shared" si="35"/>
        <v>1129.2</v>
      </c>
      <c r="P541" t="str" cm="1">
        <f t="array" ref="P541">_xlfn.IFS(C541&lt;18, "Under 18", C541&lt;36, "Btw 18&amp;35", C541&lt;51, "Btw 36&amp;50", C541&lt;66, "Btw 51&amp;65", C541&gt;=66," 66&amp;Above")</f>
        <v>Btw 36&amp;50</v>
      </c>
    </row>
    <row r="542" spans="1:16">
      <c r="A542" t="s">
        <v>1037</v>
      </c>
      <c r="B542" t="s">
        <v>626</v>
      </c>
      <c r="C542">
        <v>47</v>
      </c>
      <c r="D542" t="s">
        <v>18</v>
      </c>
      <c r="E542" s="2">
        <v>45417</v>
      </c>
      <c r="F542" s="2">
        <v>45420</v>
      </c>
      <c r="G542" t="s">
        <v>23</v>
      </c>
      <c r="H542" t="s">
        <v>204</v>
      </c>
      <c r="I542" s="3">
        <v>2925.89</v>
      </c>
      <c r="J542" t="s">
        <v>25</v>
      </c>
      <c r="K542" s="4">
        <v>0.6</v>
      </c>
      <c r="L542" s="3">
        <f t="shared" si="32"/>
        <v>1755.5339999999999</v>
      </c>
      <c r="M542" s="3">
        <f t="shared" si="33"/>
        <v>1170.356</v>
      </c>
      <c r="N542">
        <f t="shared" si="34"/>
        <v>3</v>
      </c>
      <c r="O542" s="3">
        <f t="shared" si="35"/>
        <v>0</v>
      </c>
      <c r="P542" t="str" cm="1">
        <f t="array" ref="P542">_xlfn.IFS(C542&lt;18, "Under 18", C542&lt;36, "Btw 18&amp;35", C542&lt;51, "Btw 36&amp;50", C542&lt;66, "Btw 51&amp;65", C542&gt;=66," 66&amp;Above")</f>
        <v>Btw 36&amp;50</v>
      </c>
    </row>
    <row r="543" spans="1:16">
      <c r="A543" t="s">
        <v>1038</v>
      </c>
      <c r="B543" t="s">
        <v>587</v>
      </c>
      <c r="C543">
        <v>60</v>
      </c>
      <c r="D543" t="s">
        <v>18</v>
      </c>
      <c r="E543" s="2">
        <v>45565</v>
      </c>
      <c r="F543" s="2">
        <v>45567</v>
      </c>
      <c r="G543" t="s">
        <v>23</v>
      </c>
      <c r="H543" t="s">
        <v>204</v>
      </c>
      <c r="I543" s="3">
        <v>3791.25</v>
      </c>
      <c r="J543" t="s">
        <v>20</v>
      </c>
      <c r="K543" s="4">
        <v>0.6</v>
      </c>
      <c r="L543" s="3">
        <f t="shared" si="32"/>
        <v>2274.75</v>
      </c>
      <c r="M543" s="3">
        <f t="shared" si="33"/>
        <v>1516.5</v>
      </c>
      <c r="N543">
        <f t="shared" si="34"/>
        <v>2</v>
      </c>
      <c r="O543" s="3">
        <f t="shared" si="35"/>
        <v>0</v>
      </c>
      <c r="P543" t="str" cm="1">
        <f t="array" ref="P543">_xlfn.IFS(C543&lt;18, "Under 18", C543&lt;36, "Btw 18&amp;35", C543&lt;51, "Btw 36&amp;50", C543&lt;66, "Btw 51&amp;65", C543&gt;=66," 66&amp;Above")</f>
        <v>Btw 51&amp;65</v>
      </c>
    </row>
    <row r="544" spans="1:16">
      <c r="A544" t="s">
        <v>1039</v>
      </c>
      <c r="B544" t="s">
        <v>1040</v>
      </c>
      <c r="C544">
        <v>39</v>
      </c>
      <c r="D544" t="s">
        <v>18</v>
      </c>
      <c r="E544" s="2">
        <v>45466</v>
      </c>
      <c r="F544" s="2">
        <v>45473</v>
      </c>
      <c r="G544" t="s">
        <v>60</v>
      </c>
      <c r="H544" t="s">
        <v>142</v>
      </c>
      <c r="I544" s="3">
        <v>17536.5</v>
      </c>
      <c r="J544" t="s">
        <v>15</v>
      </c>
      <c r="K544" s="4">
        <v>0.9</v>
      </c>
      <c r="L544" s="3">
        <f t="shared" si="32"/>
        <v>15782.85</v>
      </c>
      <c r="M544" s="3">
        <f t="shared" si="33"/>
        <v>1753.6499999999996</v>
      </c>
      <c r="N544">
        <f t="shared" si="34"/>
        <v>7</v>
      </c>
      <c r="O544" s="3">
        <f t="shared" si="35"/>
        <v>17536.5</v>
      </c>
      <c r="P544" t="str" cm="1">
        <f t="array" ref="P544">_xlfn.IFS(C544&lt;18, "Under 18", C544&lt;36, "Btw 18&amp;35", C544&lt;51, "Btw 36&amp;50", C544&lt;66, "Btw 51&amp;65", C544&gt;=66," 66&amp;Above")</f>
        <v>Btw 36&amp;50</v>
      </c>
    </row>
    <row r="545" spans="1:16">
      <c r="A545" t="s">
        <v>1041</v>
      </c>
      <c r="B545" t="s">
        <v>300</v>
      </c>
      <c r="C545">
        <v>35</v>
      </c>
      <c r="D545" t="s">
        <v>18</v>
      </c>
      <c r="E545" s="2">
        <v>45687</v>
      </c>
      <c r="F545" s="2">
        <v>45691</v>
      </c>
      <c r="G545" t="s">
        <v>31</v>
      </c>
      <c r="H545" t="s">
        <v>32</v>
      </c>
      <c r="I545" s="3">
        <v>2285.7199999999998</v>
      </c>
      <c r="J545" t="s">
        <v>15</v>
      </c>
      <c r="K545" s="4">
        <v>0.9</v>
      </c>
      <c r="L545" s="3">
        <f t="shared" si="32"/>
        <v>2057.1479999999997</v>
      </c>
      <c r="M545" s="3">
        <f t="shared" si="33"/>
        <v>228.57199999999992</v>
      </c>
      <c r="N545">
        <f t="shared" si="34"/>
        <v>4</v>
      </c>
      <c r="O545" s="3">
        <f t="shared" si="35"/>
        <v>2285.7199999999998</v>
      </c>
      <c r="P545" t="str" cm="1">
        <f t="array" ref="P545">_xlfn.IFS(C545&lt;18, "Under 18", C545&lt;36, "Btw 18&amp;35", C545&lt;51, "Btw 36&amp;50", C545&lt;66, "Btw 51&amp;65", C545&gt;=66," 66&amp;Above")</f>
        <v>Btw 18&amp;35</v>
      </c>
    </row>
    <row r="546" spans="1:16">
      <c r="A546" t="s">
        <v>1042</v>
      </c>
      <c r="B546" t="s">
        <v>1043</v>
      </c>
      <c r="C546">
        <v>37</v>
      </c>
      <c r="D546" t="s">
        <v>18</v>
      </c>
      <c r="E546" s="2">
        <v>45304</v>
      </c>
      <c r="F546" s="2">
        <v>45313</v>
      </c>
      <c r="G546" t="s">
        <v>60</v>
      </c>
      <c r="H546" t="s">
        <v>97</v>
      </c>
      <c r="I546" s="3">
        <v>11741.84</v>
      </c>
      <c r="J546" t="s">
        <v>15</v>
      </c>
      <c r="K546" s="4">
        <v>0.8</v>
      </c>
      <c r="L546" s="3">
        <f t="shared" si="32"/>
        <v>9393.4719999999998</v>
      </c>
      <c r="M546" s="3">
        <f t="shared" si="33"/>
        <v>2348.3679999999995</v>
      </c>
      <c r="N546">
        <f t="shared" si="34"/>
        <v>9</v>
      </c>
      <c r="O546" s="3">
        <f t="shared" si="35"/>
        <v>11741.84</v>
      </c>
      <c r="P546" t="str" cm="1">
        <f t="array" ref="P546">_xlfn.IFS(C546&lt;18, "Under 18", C546&lt;36, "Btw 18&amp;35", C546&lt;51, "Btw 36&amp;50", C546&lt;66, "Btw 51&amp;65", C546&gt;=66," 66&amp;Above")</f>
        <v>Btw 36&amp;50</v>
      </c>
    </row>
    <row r="547" spans="1:16">
      <c r="A547" t="s">
        <v>1044</v>
      </c>
      <c r="B547" t="s">
        <v>1045</v>
      </c>
      <c r="C547">
        <v>51</v>
      </c>
      <c r="D547" t="s">
        <v>18</v>
      </c>
      <c r="E547" s="2">
        <v>45943</v>
      </c>
      <c r="F547" s="2">
        <v>45951</v>
      </c>
      <c r="G547" t="s">
        <v>13</v>
      </c>
      <c r="H547" t="s">
        <v>38</v>
      </c>
      <c r="I547" s="3">
        <v>17157.7</v>
      </c>
      <c r="J547" t="s">
        <v>20</v>
      </c>
      <c r="K547" s="4">
        <v>0.8</v>
      </c>
      <c r="L547" s="3">
        <f t="shared" si="32"/>
        <v>13726.160000000002</v>
      </c>
      <c r="M547" s="3">
        <f t="shared" si="33"/>
        <v>3431.5399999999995</v>
      </c>
      <c r="N547">
        <f t="shared" si="34"/>
        <v>8</v>
      </c>
      <c r="O547" s="3">
        <f t="shared" si="35"/>
        <v>0</v>
      </c>
      <c r="P547" t="str" cm="1">
        <f t="array" ref="P547">_xlfn.IFS(C547&lt;18, "Under 18", C547&lt;36, "Btw 18&amp;35", C547&lt;51, "Btw 36&amp;50", C547&lt;66, "Btw 51&amp;65", C547&gt;=66," 66&amp;Above")</f>
        <v>Btw 51&amp;65</v>
      </c>
    </row>
    <row r="548" spans="1:16">
      <c r="A548" t="s">
        <v>1046</v>
      </c>
      <c r="B548" t="s">
        <v>1047</v>
      </c>
      <c r="C548">
        <v>69</v>
      </c>
      <c r="D548" t="s">
        <v>18</v>
      </c>
      <c r="E548" s="2">
        <v>45793</v>
      </c>
      <c r="F548" s="2">
        <v>45794</v>
      </c>
      <c r="G548" t="s">
        <v>31</v>
      </c>
      <c r="H548" t="s">
        <v>234</v>
      </c>
      <c r="I548" s="3">
        <v>1202.17</v>
      </c>
      <c r="J548" t="s">
        <v>25</v>
      </c>
      <c r="K548" s="4">
        <v>0</v>
      </c>
      <c r="L548" s="3">
        <f t="shared" si="32"/>
        <v>0</v>
      </c>
      <c r="M548" s="3">
        <f t="shared" si="33"/>
        <v>1202.17</v>
      </c>
      <c r="N548">
        <f t="shared" si="34"/>
        <v>1</v>
      </c>
      <c r="O548" s="3">
        <f t="shared" si="35"/>
        <v>0</v>
      </c>
      <c r="P548" t="str" cm="1">
        <f t="array" ref="P548">_xlfn.IFS(C548&lt;18, "Under 18", C548&lt;36, "Btw 18&amp;35", C548&lt;51, "Btw 36&amp;50", C548&lt;66, "Btw 51&amp;65", C548&gt;=66," 66&amp;Above")</f>
        <v xml:space="preserve"> 66&amp;Above</v>
      </c>
    </row>
    <row r="549" spans="1:16">
      <c r="A549" t="s">
        <v>1048</v>
      </c>
      <c r="B549" t="s">
        <v>1049</v>
      </c>
      <c r="C549">
        <v>10</v>
      </c>
      <c r="D549" t="s">
        <v>12</v>
      </c>
      <c r="E549" s="2">
        <v>45802</v>
      </c>
      <c r="F549" s="2">
        <v>45803</v>
      </c>
      <c r="G549" t="s">
        <v>49</v>
      </c>
      <c r="H549" t="s">
        <v>50</v>
      </c>
      <c r="I549" s="3">
        <v>963.75</v>
      </c>
      <c r="J549" t="s">
        <v>15</v>
      </c>
      <c r="K549" s="4">
        <v>1</v>
      </c>
      <c r="L549" s="3">
        <f t="shared" si="32"/>
        <v>963.75</v>
      </c>
      <c r="M549" s="3">
        <f t="shared" si="33"/>
        <v>0</v>
      </c>
      <c r="N549">
        <f t="shared" si="34"/>
        <v>1</v>
      </c>
      <c r="O549" s="3">
        <f t="shared" si="35"/>
        <v>963.75</v>
      </c>
      <c r="P549" t="str" cm="1">
        <f t="array" ref="P549">_xlfn.IFS(C549&lt;18, "Under 18", C549&lt;36, "Btw 18&amp;35", C549&lt;51, "Btw 36&amp;50", C549&lt;66, "Btw 51&amp;65", C549&gt;=66," 66&amp;Above")</f>
        <v>Under 18</v>
      </c>
    </row>
    <row r="550" spans="1:16">
      <c r="A550" t="s">
        <v>1050</v>
      </c>
      <c r="B550" t="s">
        <v>1051</v>
      </c>
      <c r="C550">
        <v>5</v>
      </c>
      <c r="D550" t="s">
        <v>12</v>
      </c>
      <c r="E550" s="2">
        <v>45841</v>
      </c>
      <c r="F550" s="2">
        <v>45842</v>
      </c>
      <c r="G550" t="s">
        <v>49</v>
      </c>
      <c r="H550" t="s">
        <v>50</v>
      </c>
      <c r="I550" s="3">
        <v>634.45000000000005</v>
      </c>
      <c r="J550" t="s">
        <v>15</v>
      </c>
      <c r="K550" s="4">
        <v>0.8</v>
      </c>
      <c r="L550" s="3">
        <f t="shared" si="32"/>
        <v>507.56000000000006</v>
      </c>
      <c r="M550" s="3">
        <f t="shared" si="33"/>
        <v>126.88999999999999</v>
      </c>
      <c r="N550">
        <f t="shared" si="34"/>
        <v>1</v>
      </c>
      <c r="O550" s="3">
        <f t="shared" si="35"/>
        <v>634.45000000000005</v>
      </c>
      <c r="P550" t="str" cm="1">
        <f t="array" ref="P550">_xlfn.IFS(C550&lt;18, "Under 18", C550&lt;36, "Btw 18&amp;35", C550&lt;51, "Btw 36&amp;50", C550&lt;66, "Btw 51&amp;65", C550&gt;=66," 66&amp;Above")</f>
        <v>Under 18</v>
      </c>
    </row>
    <row r="551" spans="1:16">
      <c r="A551" t="s">
        <v>1052</v>
      </c>
      <c r="B551" t="s">
        <v>606</v>
      </c>
      <c r="C551">
        <v>67</v>
      </c>
      <c r="D551" t="s">
        <v>12</v>
      </c>
      <c r="E551" s="2">
        <v>45827</v>
      </c>
      <c r="F551" s="2">
        <v>45839</v>
      </c>
      <c r="G551" t="s">
        <v>60</v>
      </c>
      <c r="H551" t="s">
        <v>97</v>
      </c>
      <c r="I551" s="3">
        <v>15003.09</v>
      </c>
      <c r="J551" t="s">
        <v>20</v>
      </c>
      <c r="K551" s="4">
        <v>0.6</v>
      </c>
      <c r="L551" s="3">
        <f t="shared" si="32"/>
        <v>9001.8539999999994</v>
      </c>
      <c r="M551" s="3">
        <f t="shared" si="33"/>
        <v>6001.2360000000008</v>
      </c>
      <c r="N551">
        <f t="shared" si="34"/>
        <v>12</v>
      </c>
      <c r="O551" s="3">
        <f t="shared" si="35"/>
        <v>0</v>
      </c>
      <c r="P551" t="str" cm="1">
        <f t="array" ref="P551">_xlfn.IFS(C551&lt;18, "Under 18", C551&lt;36, "Btw 18&amp;35", C551&lt;51, "Btw 36&amp;50", C551&lt;66, "Btw 51&amp;65", C551&gt;=66," 66&amp;Above")</f>
        <v xml:space="preserve"> 66&amp;Above</v>
      </c>
    </row>
    <row r="552" spans="1:16">
      <c r="A552" t="s">
        <v>1053</v>
      </c>
      <c r="B552" t="s">
        <v>1054</v>
      </c>
      <c r="C552">
        <v>33</v>
      </c>
      <c r="D552" t="s">
        <v>18</v>
      </c>
      <c r="E552" s="2">
        <v>45520</v>
      </c>
      <c r="F552" s="2">
        <v>45522</v>
      </c>
      <c r="G552" t="s">
        <v>23</v>
      </c>
      <c r="H552" t="s">
        <v>41</v>
      </c>
      <c r="I552" s="3">
        <v>1936.8</v>
      </c>
      <c r="J552" t="s">
        <v>15</v>
      </c>
      <c r="K552" s="4">
        <v>0.8</v>
      </c>
      <c r="L552" s="3">
        <f t="shared" si="32"/>
        <v>1549.44</v>
      </c>
      <c r="M552" s="3">
        <f t="shared" si="33"/>
        <v>387.3599999999999</v>
      </c>
      <c r="N552">
        <f t="shared" si="34"/>
        <v>2</v>
      </c>
      <c r="O552" s="3">
        <f t="shared" si="35"/>
        <v>1936.8</v>
      </c>
      <c r="P552" t="str" cm="1">
        <f t="array" ref="P552">_xlfn.IFS(C552&lt;18, "Under 18", C552&lt;36, "Btw 18&amp;35", C552&lt;51, "Btw 36&amp;50", C552&lt;66, "Btw 51&amp;65", C552&gt;=66," 66&amp;Above")</f>
        <v>Btw 18&amp;35</v>
      </c>
    </row>
    <row r="553" spans="1:16">
      <c r="A553" t="s">
        <v>1055</v>
      </c>
      <c r="B553" t="s">
        <v>1032</v>
      </c>
      <c r="C553">
        <v>37</v>
      </c>
      <c r="D553" t="s">
        <v>18</v>
      </c>
      <c r="E553" s="2">
        <v>45736</v>
      </c>
      <c r="F553" s="2">
        <v>45739</v>
      </c>
      <c r="G553" t="s">
        <v>23</v>
      </c>
      <c r="H553" t="s">
        <v>24</v>
      </c>
      <c r="I553" s="3">
        <v>6193.25</v>
      </c>
      <c r="J553" t="s">
        <v>20</v>
      </c>
      <c r="K553" s="4">
        <v>0.6</v>
      </c>
      <c r="L553" s="3">
        <f t="shared" si="32"/>
        <v>3715.95</v>
      </c>
      <c r="M553" s="3">
        <f t="shared" si="33"/>
        <v>2477.3000000000002</v>
      </c>
      <c r="N553">
        <f t="shared" si="34"/>
        <v>3</v>
      </c>
      <c r="O553" s="3">
        <f t="shared" si="35"/>
        <v>0</v>
      </c>
      <c r="P553" t="str" cm="1">
        <f t="array" ref="P553">_xlfn.IFS(C553&lt;18, "Under 18", C553&lt;36, "Btw 18&amp;35", C553&lt;51, "Btw 36&amp;50", C553&lt;66, "Btw 51&amp;65", C553&gt;=66," 66&amp;Above")</f>
        <v>Btw 36&amp;50</v>
      </c>
    </row>
    <row r="554" spans="1:16">
      <c r="A554" t="s">
        <v>1056</v>
      </c>
      <c r="B554" t="s">
        <v>1057</v>
      </c>
      <c r="C554">
        <v>72</v>
      </c>
      <c r="D554" t="s">
        <v>18</v>
      </c>
      <c r="E554" s="2">
        <v>45948</v>
      </c>
      <c r="F554" s="2">
        <v>45955</v>
      </c>
      <c r="G554" t="s">
        <v>60</v>
      </c>
      <c r="H554" t="s">
        <v>61</v>
      </c>
      <c r="I554" s="3">
        <v>11831.06</v>
      </c>
      <c r="J554" t="s">
        <v>25</v>
      </c>
      <c r="K554" s="4">
        <v>0.8</v>
      </c>
      <c r="L554" s="3">
        <f t="shared" si="32"/>
        <v>9464.848</v>
      </c>
      <c r="M554" s="3">
        <f t="shared" si="33"/>
        <v>2366.2119999999995</v>
      </c>
      <c r="N554">
        <f t="shared" si="34"/>
        <v>7</v>
      </c>
      <c r="O554" s="3">
        <f t="shared" si="35"/>
        <v>0</v>
      </c>
      <c r="P554" t="str" cm="1">
        <f t="array" ref="P554">_xlfn.IFS(C554&lt;18, "Under 18", C554&lt;36, "Btw 18&amp;35", C554&lt;51, "Btw 36&amp;50", C554&lt;66, "Btw 51&amp;65", C554&gt;=66," 66&amp;Above")</f>
        <v xml:space="preserve"> 66&amp;Above</v>
      </c>
    </row>
    <row r="555" spans="1:16">
      <c r="A555" t="s">
        <v>1058</v>
      </c>
      <c r="B555" t="s">
        <v>1059</v>
      </c>
      <c r="C555">
        <v>75</v>
      </c>
      <c r="D555" t="s">
        <v>12</v>
      </c>
      <c r="E555" s="2">
        <v>45692</v>
      </c>
      <c r="F555" s="2">
        <v>45699</v>
      </c>
      <c r="G555" t="s">
        <v>31</v>
      </c>
      <c r="H555" t="s">
        <v>87</v>
      </c>
      <c r="I555" s="3">
        <v>7790.86</v>
      </c>
      <c r="J555" t="s">
        <v>15</v>
      </c>
      <c r="K555" s="4">
        <v>1</v>
      </c>
      <c r="L555" s="3">
        <f t="shared" si="32"/>
        <v>7790.86</v>
      </c>
      <c r="M555" s="3">
        <f t="shared" si="33"/>
        <v>0</v>
      </c>
      <c r="N555">
        <f t="shared" si="34"/>
        <v>7</v>
      </c>
      <c r="O555" s="3">
        <f t="shared" si="35"/>
        <v>7790.86</v>
      </c>
      <c r="P555" t="str" cm="1">
        <f t="array" ref="P555">_xlfn.IFS(C555&lt;18, "Under 18", C555&lt;36, "Btw 18&amp;35", C555&lt;51, "Btw 36&amp;50", C555&lt;66, "Btw 51&amp;65", C555&gt;=66," 66&amp;Above")</f>
        <v xml:space="preserve"> 66&amp;Above</v>
      </c>
    </row>
    <row r="556" spans="1:16">
      <c r="A556" t="s">
        <v>1060</v>
      </c>
      <c r="B556" t="s">
        <v>1061</v>
      </c>
      <c r="C556">
        <v>27</v>
      </c>
      <c r="D556" t="s">
        <v>18</v>
      </c>
      <c r="E556" s="2">
        <v>45981</v>
      </c>
      <c r="F556" s="2">
        <v>45988</v>
      </c>
      <c r="G556" t="s">
        <v>31</v>
      </c>
      <c r="H556" t="s">
        <v>44</v>
      </c>
      <c r="I556" s="3">
        <v>4784.6000000000004</v>
      </c>
      <c r="J556" t="s">
        <v>15</v>
      </c>
      <c r="K556" s="4">
        <v>0.7</v>
      </c>
      <c r="L556" s="3">
        <f t="shared" si="32"/>
        <v>3349.2200000000003</v>
      </c>
      <c r="M556" s="3">
        <f t="shared" si="33"/>
        <v>1435.3800000000003</v>
      </c>
      <c r="N556">
        <f t="shared" si="34"/>
        <v>7</v>
      </c>
      <c r="O556" s="3">
        <f t="shared" si="35"/>
        <v>4784.6000000000004</v>
      </c>
      <c r="P556" t="str" cm="1">
        <f t="array" ref="P556">_xlfn.IFS(C556&lt;18, "Under 18", C556&lt;36, "Btw 18&amp;35", C556&lt;51, "Btw 36&amp;50", C556&lt;66, "Btw 51&amp;65", C556&gt;=66," 66&amp;Above")</f>
        <v>Btw 18&amp;35</v>
      </c>
    </row>
    <row r="557" spans="1:16">
      <c r="A557" t="s">
        <v>1062</v>
      </c>
      <c r="B557" t="s">
        <v>1063</v>
      </c>
      <c r="C557">
        <v>60</v>
      </c>
      <c r="D557" t="s">
        <v>12</v>
      </c>
      <c r="E557" s="2">
        <v>45327</v>
      </c>
      <c r="F557" s="2">
        <v>45331</v>
      </c>
      <c r="G557" t="s">
        <v>13</v>
      </c>
      <c r="H557" t="s">
        <v>38</v>
      </c>
      <c r="I557" s="3">
        <v>11688.29</v>
      </c>
      <c r="J557" t="s">
        <v>25</v>
      </c>
      <c r="K557" s="4">
        <v>0.7</v>
      </c>
      <c r="L557" s="3">
        <f t="shared" si="32"/>
        <v>8181.8029999999999</v>
      </c>
      <c r="M557" s="3">
        <f t="shared" si="33"/>
        <v>3506.487000000001</v>
      </c>
      <c r="N557">
        <f t="shared" si="34"/>
        <v>4</v>
      </c>
      <c r="O557" s="3">
        <f t="shared" si="35"/>
        <v>0</v>
      </c>
      <c r="P557" t="str" cm="1">
        <f t="array" ref="P557">_xlfn.IFS(C557&lt;18, "Under 18", C557&lt;36, "Btw 18&amp;35", C557&lt;51, "Btw 36&amp;50", C557&lt;66, "Btw 51&amp;65", C557&gt;=66," 66&amp;Above")</f>
        <v>Btw 51&amp;65</v>
      </c>
    </row>
    <row r="558" spans="1:16">
      <c r="A558" t="s">
        <v>1064</v>
      </c>
      <c r="B558" t="s">
        <v>1059</v>
      </c>
      <c r="C558">
        <v>42</v>
      </c>
      <c r="D558" t="s">
        <v>12</v>
      </c>
      <c r="E558" s="2">
        <v>45544</v>
      </c>
      <c r="F558" s="2">
        <v>45552</v>
      </c>
      <c r="G558" t="s">
        <v>13</v>
      </c>
      <c r="H558" t="s">
        <v>19</v>
      </c>
      <c r="I558" s="3">
        <v>18692.25</v>
      </c>
      <c r="J558" t="s">
        <v>15</v>
      </c>
      <c r="K558" s="4">
        <v>0.7</v>
      </c>
      <c r="L558" s="3">
        <f t="shared" si="32"/>
        <v>13084.574999999999</v>
      </c>
      <c r="M558" s="3">
        <f t="shared" si="33"/>
        <v>5607.6750000000011</v>
      </c>
      <c r="N558">
        <f t="shared" si="34"/>
        <v>8</v>
      </c>
      <c r="O558" s="3">
        <f t="shared" si="35"/>
        <v>18692.25</v>
      </c>
      <c r="P558" t="str" cm="1">
        <f t="array" ref="P558">_xlfn.IFS(C558&lt;18, "Under 18", C558&lt;36, "Btw 18&amp;35", C558&lt;51, "Btw 36&amp;50", C558&lt;66, "Btw 51&amp;65", C558&gt;=66," 66&amp;Above")</f>
        <v>Btw 36&amp;50</v>
      </c>
    </row>
    <row r="559" spans="1:16">
      <c r="A559" t="s">
        <v>1065</v>
      </c>
      <c r="B559" t="s">
        <v>1066</v>
      </c>
      <c r="C559">
        <v>10</v>
      </c>
      <c r="D559" t="s">
        <v>12</v>
      </c>
      <c r="E559" s="2">
        <v>45443</v>
      </c>
      <c r="F559" s="2">
        <v>45448</v>
      </c>
      <c r="G559" t="s">
        <v>49</v>
      </c>
      <c r="H559" t="s">
        <v>50</v>
      </c>
      <c r="I559" s="3">
        <v>3371.75</v>
      </c>
      <c r="J559" t="s">
        <v>15</v>
      </c>
      <c r="K559" s="4">
        <v>1</v>
      </c>
      <c r="L559" s="3">
        <f t="shared" si="32"/>
        <v>3371.75</v>
      </c>
      <c r="M559" s="3">
        <f t="shared" si="33"/>
        <v>0</v>
      </c>
      <c r="N559">
        <f t="shared" si="34"/>
        <v>5</v>
      </c>
      <c r="O559" s="3">
        <f t="shared" si="35"/>
        <v>3371.75</v>
      </c>
      <c r="P559" t="str" cm="1">
        <f t="array" ref="P559">_xlfn.IFS(C559&lt;18, "Under 18", C559&lt;36, "Btw 18&amp;35", C559&lt;51, "Btw 36&amp;50", C559&lt;66, "Btw 51&amp;65", C559&gt;=66," 66&amp;Above")</f>
        <v>Under 18</v>
      </c>
    </row>
    <row r="560" spans="1:16">
      <c r="A560" t="s">
        <v>1067</v>
      </c>
      <c r="B560" t="s">
        <v>856</v>
      </c>
      <c r="C560">
        <v>79</v>
      </c>
      <c r="D560" t="s">
        <v>18</v>
      </c>
      <c r="E560" s="2">
        <v>45516</v>
      </c>
      <c r="F560" s="2">
        <v>45518</v>
      </c>
      <c r="G560" t="s">
        <v>23</v>
      </c>
      <c r="H560" t="s">
        <v>28</v>
      </c>
      <c r="I560" s="3">
        <v>4382.4799999999996</v>
      </c>
      <c r="J560" t="s">
        <v>20</v>
      </c>
      <c r="K560" s="4">
        <v>0.7</v>
      </c>
      <c r="L560" s="3">
        <f t="shared" si="32"/>
        <v>3067.7359999999994</v>
      </c>
      <c r="M560" s="3">
        <f t="shared" si="33"/>
        <v>1314.7440000000001</v>
      </c>
      <c r="N560">
        <f t="shared" si="34"/>
        <v>2</v>
      </c>
      <c r="O560" s="3">
        <f t="shared" si="35"/>
        <v>0</v>
      </c>
      <c r="P560" t="str" cm="1">
        <f t="array" ref="P560">_xlfn.IFS(C560&lt;18, "Under 18", C560&lt;36, "Btw 18&amp;35", C560&lt;51, "Btw 36&amp;50", C560&lt;66, "Btw 51&amp;65", C560&gt;=66," 66&amp;Above")</f>
        <v xml:space="preserve"> 66&amp;Above</v>
      </c>
    </row>
    <row r="561" spans="1:16">
      <c r="A561" t="s">
        <v>1068</v>
      </c>
      <c r="B561" t="s">
        <v>1069</v>
      </c>
      <c r="C561">
        <v>82</v>
      </c>
      <c r="D561" t="s">
        <v>18</v>
      </c>
      <c r="E561" s="2">
        <v>45549</v>
      </c>
      <c r="F561" s="2">
        <v>45553</v>
      </c>
      <c r="G561" t="s">
        <v>31</v>
      </c>
      <c r="H561" t="s">
        <v>32</v>
      </c>
      <c r="I561" s="3">
        <v>4088.62</v>
      </c>
      <c r="J561" t="s">
        <v>25</v>
      </c>
      <c r="K561" s="4">
        <v>0.6</v>
      </c>
      <c r="L561" s="3">
        <f t="shared" si="32"/>
        <v>2453.172</v>
      </c>
      <c r="M561" s="3">
        <f t="shared" si="33"/>
        <v>1635.4480000000001</v>
      </c>
      <c r="N561">
        <f t="shared" si="34"/>
        <v>4</v>
      </c>
      <c r="O561" s="3">
        <f t="shared" si="35"/>
        <v>0</v>
      </c>
      <c r="P561" t="str" cm="1">
        <f t="array" ref="P561">_xlfn.IFS(C561&lt;18, "Under 18", C561&lt;36, "Btw 18&amp;35", C561&lt;51, "Btw 36&amp;50", C561&lt;66, "Btw 51&amp;65", C561&gt;=66," 66&amp;Above")</f>
        <v xml:space="preserve"> 66&amp;Above</v>
      </c>
    </row>
    <row r="562" spans="1:16">
      <c r="A562" t="s">
        <v>1070</v>
      </c>
      <c r="B562" t="s">
        <v>1071</v>
      </c>
      <c r="C562">
        <v>7</v>
      </c>
      <c r="D562" t="s">
        <v>12</v>
      </c>
      <c r="E562" s="2">
        <v>45865</v>
      </c>
      <c r="F562" s="2">
        <v>45868</v>
      </c>
      <c r="G562" t="s">
        <v>49</v>
      </c>
      <c r="H562" t="s">
        <v>378</v>
      </c>
      <c r="I562" s="3">
        <v>3324.31</v>
      </c>
      <c r="J562" t="s">
        <v>25</v>
      </c>
      <c r="K562" s="4">
        <v>0.8</v>
      </c>
      <c r="L562" s="3">
        <f t="shared" si="32"/>
        <v>2659.4480000000003</v>
      </c>
      <c r="M562" s="3">
        <f t="shared" si="33"/>
        <v>664.86199999999985</v>
      </c>
      <c r="N562">
        <f t="shared" si="34"/>
        <v>3</v>
      </c>
      <c r="O562" s="3">
        <f t="shared" si="35"/>
        <v>0</v>
      </c>
      <c r="P562" t="str" cm="1">
        <f t="array" ref="P562">_xlfn.IFS(C562&lt;18, "Under 18", C562&lt;36, "Btw 18&amp;35", C562&lt;51, "Btw 36&amp;50", C562&lt;66, "Btw 51&amp;65", C562&gt;=66," 66&amp;Above")</f>
        <v>Under 18</v>
      </c>
    </row>
    <row r="563" spans="1:16">
      <c r="A563" t="s">
        <v>1072</v>
      </c>
      <c r="B563" t="s">
        <v>91</v>
      </c>
      <c r="C563">
        <v>25</v>
      </c>
      <c r="D563" t="s">
        <v>12</v>
      </c>
      <c r="E563" s="2">
        <v>45413</v>
      </c>
      <c r="F563" s="2">
        <v>45421</v>
      </c>
      <c r="G563" t="s">
        <v>60</v>
      </c>
      <c r="H563" t="s">
        <v>61</v>
      </c>
      <c r="I563" s="3">
        <v>9961.07</v>
      </c>
      <c r="J563" t="s">
        <v>15</v>
      </c>
      <c r="K563" s="4">
        <v>0.7</v>
      </c>
      <c r="L563" s="3">
        <f t="shared" si="32"/>
        <v>6972.7489999999998</v>
      </c>
      <c r="M563" s="3">
        <f t="shared" si="33"/>
        <v>2988.3210000000004</v>
      </c>
      <c r="N563">
        <f t="shared" si="34"/>
        <v>8</v>
      </c>
      <c r="O563" s="3">
        <f t="shared" si="35"/>
        <v>9961.07</v>
      </c>
      <c r="P563" t="str" cm="1">
        <f t="array" ref="P563">_xlfn.IFS(C563&lt;18, "Under 18", C563&lt;36, "Btw 18&amp;35", C563&lt;51, "Btw 36&amp;50", C563&lt;66, "Btw 51&amp;65", C563&gt;=66," 66&amp;Above")</f>
        <v>Btw 18&amp;35</v>
      </c>
    </row>
    <row r="564" spans="1:16">
      <c r="A564" t="s">
        <v>1073</v>
      </c>
      <c r="B564" t="s">
        <v>1074</v>
      </c>
      <c r="C564">
        <v>77</v>
      </c>
      <c r="D564" t="s">
        <v>12</v>
      </c>
      <c r="E564" s="2">
        <v>45315</v>
      </c>
      <c r="F564" s="2">
        <v>45321</v>
      </c>
      <c r="G564" t="s">
        <v>31</v>
      </c>
      <c r="H564" t="s">
        <v>87</v>
      </c>
      <c r="I564" s="3">
        <v>8841.14</v>
      </c>
      <c r="J564" t="s">
        <v>15</v>
      </c>
      <c r="K564" s="4">
        <v>0</v>
      </c>
      <c r="L564" s="3">
        <f t="shared" si="32"/>
        <v>0</v>
      </c>
      <c r="M564" s="3">
        <f t="shared" si="33"/>
        <v>8841.14</v>
      </c>
      <c r="N564">
        <f t="shared" si="34"/>
        <v>6</v>
      </c>
      <c r="O564" s="3">
        <f t="shared" si="35"/>
        <v>8841.14</v>
      </c>
      <c r="P564" t="str" cm="1">
        <f t="array" ref="P564">_xlfn.IFS(C564&lt;18, "Under 18", C564&lt;36, "Btw 18&amp;35", C564&lt;51, "Btw 36&amp;50", C564&lt;66, "Btw 51&amp;65", C564&gt;=66," 66&amp;Above")</f>
        <v xml:space="preserve"> 66&amp;Above</v>
      </c>
    </row>
    <row r="565" spans="1:16">
      <c r="A565" t="s">
        <v>1075</v>
      </c>
      <c r="B565" t="s">
        <v>1076</v>
      </c>
      <c r="C565">
        <v>3</v>
      </c>
      <c r="D565" t="s">
        <v>12</v>
      </c>
      <c r="E565" s="2">
        <v>45756</v>
      </c>
      <c r="F565" s="2">
        <v>45759</v>
      </c>
      <c r="G565" t="s">
        <v>49</v>
      </c>
      <c r="H565" t="s">
        <v>50</v>
      </c>
      <c r="I565" s="3">
        <v>5228.9399999999996</v>
      </c>
      <c r="J565" t="s">
        <v>20</v>
      </c>
      <c r="K565" s="4">
        <v>0.5</v>
      </c>
      <c r="L565" s="3">
        <f t="shared" si="32"/>
        <v>2614.4699999999998</v>
      </c>
      <c r="M565" s="3">
        <f t="shared" si="33"/>
        <v>2614.4699999999998</v>
      </c>
      <c r="N565">
        <f t="shared" si="34"/>
        <v>3</v>
      </c>
      <c r="O565" s="3">
        <f t="shared" si="35"/>
        <v>0</v>
      </c>
      <c r="P565" t="str" cm="1">
        <f t="array" ref="P565">_xlfn.IFS(C565&lt;18, "Under 18", C565&lt;36, "Btw 18&amp;35", C565&lt;51, "Btw 36&amp;50", C565&lt;66, "Btw 51&amp;65", C565&gt;=66," 66&amp;Above")</f>
        <v>Under 18</v>
      </c>
    </row>
    <row r="566" spans="1:16">
      <c r="A566" t="s">
        <v>1077</v>
      </c>
      <c r="B566" t="s">
        <v>1078</v>
      </c>
      <c r="C566">
        <v>47</v>
      </c>
      <c r="D566" t="s">
        <v>12</v>
      </c>
      <c r="E566" s="2">
        <v>45966</v>
      </c>
      <c r="F566" s="2">
        <v>45971</v>
      </c>
      <c r="G566" t="s">
        <v>31</v>
      </c>
      <c r="H566" t="s">
        <v>114</v>
      </c>
      <c r="I566" s="3">
        <v>6395.28</v>
      </c>
      <c r="J566" t="s">
        <v>15</v>
      </c>
      <c r="K566" s="4">
        <v>0.9</v>
      </c>
      <c r="L566" s="3">
        <f t="shared" si="32"/>
        <v>5755.7519999999995</v>
      </c>
      <c r="M566" s="3">
        <f t="shared" si="33"/>
        <v>639.52799999999979</v>
      </c>
      <c r="N566">
        <f t="shared" si="34"/>
        <v>5</v>
      </c>
      <c r="O566" s="3">
        <f t="shared" si="35"/>
        <v>6395.28</v>
      </c>
      <c r="P566" t="str" cm="1">
        <f t="array" ref="P566">_xlfn.IFS(C566&lt;18, "Under 18", C566&lt;36, "Btw 18&amp;35", C566&lt;51, "Btw 36&amp;50", C566&lt;66, "Btw 51&amp;65", C566&gt;=66," 66&amp;Above")</f>
        <v>Btw 36&amp;50</v>
      </c>
    </row>
    <row r="567" spans="1:16">
      <c r="A567" t="s">
        <v>1079</v>
      </c>
      <c r="B567" t="s">
        <v>346</v>
      </c>
      <c r="C567">
        <v>68</v>
      </c>
      <c r="D567" t="s">
        <v>18</v>
      </c>
      <c r="E567" s="2">
        <v>45516</v>
      </c>
      <c r="F567" s="2">
        <v>45517</v>
      </c>
      <c r="G567" t="s">
        <v>31</v>
      </c>
      <c r="H567" t="s">
        <v>87</v>
      </c>
      <c r="I567" s="3">
        <v>973.65</v>
      </c>
      <c r="J567" t="s">
        <v>20</v>
      </c>
      <c r="K567" s="4">
        <v>0.8</v>
      </c>
      <c r="L567" s="3">
        <f t="shared" si="32"/>
        <v>778.92000000000007</v>
      </c>
      <c r="M567" s="3">
        <f t="shared" si="33"/>
        <v>194.72999999999996</v>
      </c>
      <c r="N567">
        <f t="shared" si="34"/>
        <v>1</v>
      </c>
      <c r="O567" s="3">
        <f t="shared" si="35"/>
        <v>0</v>
      </c>
      <c r="P567" t="str" cm="1">
        <f t="array" ref="P567">_xlfn.IFS(C567&lt;18, "Under 18", C567&lt;36, "Btw 18&amp;35", C567&lt;51, "Btw 36&amp;50", C567&lt;66, "Btw 51&amp;65", C567&gt;=66," 66&amp;Above")</f>
        <v xml:space="preserve"> 66&amp;Above</v>
      </c>
    </row>
    <row r="568" spans="1:16">
      <c r="A568" t="s">
        <v>1080</v>
      </c>
      <c r="B568" t="s">
        <v>412</v>
      </c>
      <c r="C568">
        <v>52</v>
      </c>
      <c r="D568" t="s">
        <v>12</v>
      </c>
      <c r="E568" s="2">
        <v>45724</v>
      </c>
      <c r="F568" s="2">
        <v>45729</v>
      </c>
      <c r="G568" t="s">
        <v>13</v>
      </c>
      <c r="H568" t="s">
        <v>38</v>
      </c>
      <c r="I568" s="3">
        <v>10137.39</v>
      </c>
      <c r="J568" t="s">
        <v>25</v>
      </c>
      <c r="K568" s="4">
        <v>0.7</v>
      </c>
      <c r="L568" s="3">
        <f t="shared" si="32"/>
        <v>7096.1729999999989</v>
      </c>
      <c r="M568" s="3">
        <f t="shared" si="33"/>
        <v>3041.2170000000001</v>
      </c>
      <c r="N568">
        <f t="shared" si="34"/>
        <v>5</v>
      </c>
      <c r="O568" s="3">
        <f t="shared" si="35"/>
        <v>0</v>
      </c>
      <c r="P568" t="str" cm="1">
        <f t="array" ref="P568">_xlfn.IFS(C568&lt;18, "Under 18", C568&lt;36, "Btw 18&amp;35", C568&lt;51, "Btw 36&amp;50", C568&lt;66, "Btw 51&amp;65", C568&gt;=66," 66&amp;Above")</f>
        <v>Btw 51&amp;65</v>
      </c>
    </row>
    <row r="569" spans="1:16">
      <c r="A569" t="s">
        <v>1081</v>
      </c>
      <c r="B569" t="s">
        <v>439</v>
      </c>
      <c r="C569">
        <v>28</v>
      </c>
      <c r="D569" t="s">
        <v>18</v>
      </c>
      <c r="E569" s="2">
        <v>45300</v>
      </c>
      <c r="F569" s="2">
        <v>45312</v>
      </c>
      <c r="G569" t="s">
        <v>60</v>
      </c>
      <c r="H569" t="s">
        <v>77</v>
      </c>
      <c r="I569" s="3">
        <v>22947.49</v>
      </c>
      <c r="J569" t="s">
        <v>15</v>
      </c>
      <c r="K569" s="4">
        <v>0.8</v>
      </c>
      <c r="L569" s="3">
        <f t="shared" si="32"/>
        <v>18357.992000000002</v>
      </c>
      <c r="M569" s="3">
        <f t="shared" si="33"/>
        <v>4589.4979999999996</v>
      </c>
      <c r="N569">
        <f t="shared" si="34"/>
        <v>12</v>
      </c>
      <c r="O569" s="3">
        <f t="shared" si="35"/>
        <v>22947.49</v>
      </c>
      <c r="P569" t="str" cm="1">
        <f t="array" ref="P569">_xlfn.IFS(C569&lt;18, "Under 18", C569&lt;36, "Btw 18&amp;35", C569&lt;51, "Btw 36&amp;50", C569&lt;66, "Btw 51&amp;65", C569&gt;=66," 66&amp;Above")</f>
        <v>Btw 18&amp;35</v>
      </c>
    </row>
    <row r="570" spans="1:16">
      <c r="A570" t="s">
        <v>1082</v>
      </c>
      <c r="B570" t="s">
        <v>1083</v>
      </c>
      <c r="C570">
        <v>67</v>
      </c>
      <c r="D570" t="s">
        <v>12</v>
      </c>
      <c r="E570" s="2">
        <v>45553</v>
      </c>
      <c r="F570" s="2">
        <v>45555</v>
      </c>
      <c r="G570" t="s">
        <v>60</v>
      </c>
      <c r="H570" t="s">
        <v>133</v>
      </c>
      <c r="I570" s="3">
        <v>2438.71</v>
      </c>
      <c r="J570" t="s">
        <v>25</v>
      </c>
      <c r="K570" s="4">
        <v>0.7</v>
      </c>
      <c r="L570" s="3">
        <f t="shared" si="32"/>
        <v>1707.097</v>
      </c>
      <c r="M570" s="3">
        <f t="shared" si="33"/>
        <v>731.61300000000017</v>
      </c>
      <c r="N570">
        <f t="shared" si="34"/>
        <v>2</v>
      </c>
      <c r="O570" s="3">
        <f t="shared" si="35"/>
        <v>0</v>
      </c>
      <c r="P570" t="str" cm="1">
        <f t="array" ref="P570">_xlfn.IFS(C570&lt;18, "Under 18", C570&lt;36, "Btw 18&amp;35", C570&lt;51, "Btw 36&amp;50", C570&lt;66, "Btw 51&amp;65", C570&gt;=66," 66&amp;Above")</f>
        <v xml:space="preserve"> 66&amp;Above</v>
      </c>
    </row>
    <row r="571" spans="1:16">
      <c r="A571" t="s">
        <v>1084</v>
      </c>
      <c r="B571" t="s">
        <v>750</v>
      </c>
      <c r="C571">
        <v>55</v>
      </c>
      <c r="D571" t="s">
        <v>18</v>
      </c>
      <c r="E571" s="2">
        <v>45360</v>
      </c>
      <c r="F571" s="2">
        <v>45362</v>
      </c>
      <c r="G571" t="s">
        <v>23</v>
      </c>
      <c r="H571" t="s">
        <v>333</v>
      </c>
      <c r="I571" s="3">
        <v>1963.87</v>
      </c>
      <c r="J571" t="s">
        <v>25</v>
      </c>
      <c r="K571" s="4">
        <v>0.8</v>
      </c>
      <c r="L571" s="3">
        <f t="shared" si="32"/>
        <v>1571.096</v>
      </c>
      <c r="M571" s="3">
        <f t="shared" si="33"/>
        <v>392.77399999999989</v>
      </c>
      <c r="N571">
        <f t="shared" si="34"/>
        <v>2</v>
      </c>
      <c r="O571" s="3">
        <f t="shared" si="35"/>
        <v>0</v>
      </c>
      <c r="P571" t="str" cm="1">
        <f t="array" ref="P571">_xlfn.IFS(C571&lt;18, "Under 18", C571&lt;36, "Btw 18&amp;35", C571&lt;51, "Btw 36&amp;50", C571&lt;66, "Btw 51&amp;65", C571&gt;=66," 66&amp;Above")</f>
        <v>Btw 51&amp;65</v>
      </c>
    </row>
    <row r="572" spans="1:16">
      <c r="A572" t="s">
        <v>1085</v>
      </c>
      <c r="B572" t="s">
        <v>1051</v>
      </c>
      <c r="C572">
        <v>12</v>
      </c>
      <c r="D572" t="s">
        <v>12</v>
      </c>
      <c r="E572" s="2">
        <v>45831</v>
      </c>
      <c r="F572" s="2">
        <v>45834</v>
      </c>
      <c r="G572" t="s">
        <v>49</v>
      </c>
      <c r="H572" t="s">
        <v>123</v>
      </c>
      <c r="I572" s="3">
        <v>3527.16</v>
      </c>
      <c r="J572" t="s">
        <v>15</v>
      </c>
      <c r="K572" s="4">
        <v>0.7</v>
      </c>
      <c r="L572" s="3">
        <f t="shared" si="32"/>
        <v>2469.0119999999997</v>
      </c>
      <c r="M572" s="3">
        <f t="shared" si="33"/>
        <v>1058.1480000000001</v>
      </c>
      <c r="N572">
        <f t="shared" si="34"/>
        <v>3</v>
      </c>
      <c r="O572" s="3">
        <f t="shared" si="35"/>
        <v>3527.16</v>
      </c>
      <c r="P572" t="str" cm="1">
        <f t="array" ref="P572">_xlfn.IFS(C572&lt;18, "Under 18", C572&lt;36, "Btw 18&amp;35", C572&lt;51, "Btw 36&amp;50", C572&lt;66, "Btw 51&amp;65", C572&gt;=66," 66&amp;Above")</f>
        <v>Under 18</v>
      </c>
    </row>
    <row r="573" spans="1:16">
      <c r="A573" t="s">
        <v>1086</v>
      </c>
      <c r="B573" t="s">
        <v>1087</v>
      </c>
      <c r="C573">
        <v>35</v>
      </c>
      <c r="D573" t="s">
        <v>12</v>
      </c>
      <c r="E573" s="2">
        <v>45864</v>
      </c>
      <c r="F573" s="2">
        <v>45867</v>
      </c>
      <c r="G573" t="s">
        <v>23</v>
      </c>
      <c r="H573" t="s">
        <v>333</v>
      </c>
      <c r="I573" s="3">
        <v>5342.79</v>
      </c>
      <c r="J573" t="s">
        <v>15</v>
      </c>
      <c r="K573" s="4">
        <v>0.7</v>
      </c>
      <c r="L573" s="3">
        <f t="shared" si="32"/>
        <v>3739.9529999999995</v>
      </c>
      <c r="M573" s="3">
        <f t="shared" si="33"/>
        <v>1602.8370000000002</v>
      </c>
      <c r="N573">
        <f t="shared" si="34"/>
        <v>3</v>
      </c>
      <c r="O573" s="3">
        <f t="shared" si="35"/>
        <v>5342.79</v>
      </c>
      <c r="P573" t="str" cm="1">
        <f t="array" ref="P573">_xlfn.IFS(C573&lt;18, "Under 18", C573&lt;36, "Btw 18&amp;35", C573&lt;51, "Btw 36&amp;50", C573&lt;66, "Btw 51&amp;65", C573&gt;=66," 66&amp;Above")</f>
        <v>Btw 18&amp;35</v>
      </c>
    </row>
    <row r="574" spans="1:16">
      <c r="A574" t="s">
        <v>1088</v>
      </c>
      <c r="B574" t="s">
        <v>1089</v>
      </c>
      <c r="C574">
        <v>30</v>
      </c>
      <c r="D574" t="s">
        <v>18</v>
      </c>
      <c r="E574" s="2">
        <v>45523</v>
      </c>
      <c r="F574" s="2">
        <v>45535</v>
      </c>
      <c r="G574" t="s">
        <v>60</v>
      </c>
      <c r="H574" t="s">
        <v>77</v>
      </c>
      <c r="I574" s="3">
        <v>30203.49</v>
      </c>
      <c r="J574" t="s">
        <v>20</v>
      </c>
      <c r="K574" s="4">
        <v>1</v>
      </c>
      <c r="L574" s="3">
        <f t="shared" si="32"/>
        <v>30203.49</v>
      </c>
      <c r="M574" s="3">
        <f t="shared" si="33"/>
        <v>0</v>
      </c>
      <c r="N574">
        <f t="shared" si="34"/>
        <v>12</v>
      </c>
      <c r="O574" s="3">
        <f t="shared" si="35"/>
        <v>0</v>
      </c>
      <c r="P574" t="str" cm="1">
        <f t="array" ref="P574">_xlfn.IFS(C574&lt;18, "Under 18", C574&lt;36, "Btw 18&amp;35", C574&lt;51, "Btw 36&amp;50", C574&lt;66, "Btw 51&amp;65", C574&gt;=66," 66&amp;Above")</f>
        <v>Btw 18&amp;35</v>
      </c>
    </row>
    <row r="575" spans="1:16">
      <c r="A575" t="s">
        <v>1090</v>
      </c>
      <c r="B575" t="s">
        <v>606</v>
      </c>
      <c r="C575">
        <v>69</v>
      </c>
      <c r="D575" t="s">
        <v>12</v>
      </c>
      <c r="E575" s="2">
        <v>45407</v>
      </c>
      <c r="F575" s="2">
        <v>45413</v>
      </c>
      <c r="G575" t="s">
        <v>60</v>
      </c>
      <c r="H575" t="s">
        <v>77</v>
      </c>
      <c r="I575" s="3">
        <v>7312.84</v>
      </c>
      <c r="J575" t="s">
        <v>20</v>
      </c>
      <c r="K575" s="4">
        <v>0.7</v>
      </c>
      <c r="L575" s="3">
        <f t="shared" si="32"/>
        <v>5118.9879999999994</v>
      </c>
      <c r="M575" s="3">
        <f t="shared" si="33"/>
        <v>2193.8520000000003</v>
      </c>
      <c r="N575">
        <f t="shared" si="34"/>
        <v>6</v>
      </c>
      <c r="O575" s="3">
        <f t="shared" si="35"/>
        <v>0</v>
      </c>
      <c r="P575" t="str" cm="1">
        <f t="array" ref="P575">_xlfn.IFS(C575&lt;18, "Under 18", C575&lt;36, "Btw 18&amp;35", C575&lt;51, "Btw 36&amp;50", C575&lt;66, "Btw 51&amp;65", C575&gt;=66," 66&amp;Above")</f>
        <v xml:space="preserve"> 66&amp;Above</v>
      </c>
    </row>
    <row r="576" spans="1:16">
      <c r="A576" t="s">
        <v>1091</v>
      </c>
      <c r="B576" t="s">
        <v>693</v>
      </c>
      <c r="C576">
        <v>34</v>
      </c>
      <c r="D576" t="s">
        <v>18</v>
      </c>
      <c r="E576" s="2">
        <v>45443</v>
      </c>
      <c r="F576" s="2">
        <v>45447</v>
      </c>
      <c r="G576" t="s">
        <v>31</v>
      </c>
      <c r="H576" t="s">
        <v>234</v>
      </c>
      <c r="I576" s="3">
        <v>4926.28</v>
      </c>
      <c r="J576" t="s">
        <v>15</v>
      </c>
      <c r="K576" s="4">
        <v>0.9</v>
      </c>
      <c r="L576" s="3">
        <f t="shared" si="32"/>
        <v>4433.652</v>
      </c>
      <c r="M576" s="3">
        <f t="shared" si="33"/>
        <v>492.62799999999987</v>
      </c>
      <c r="N576">
        <f t="shared" si="34"/>
        <v>4</v>
      </c>
      <c r="O576" s="3">
        <f t="shared" si="35"/>
        <v>4926.28</v>
      </c>
      <c r="P576" t="str" cm="1">
        <f t="array" ref="P576">_xlfn.IFS(C576&lt;18, "Under 18", C576&lt;36, "Btw 18&amp;35", C576&lt;51, "Btw 36&amp;50", C576&lt;66, "Btw 51&amp;65", C576&gt;=66," 66&amp;Above")</f>
        <v>Btw 18&amp;35</v>
      </c>
    </row>
    <row r="577" spans="1:16">
      <c r="A577" t="s">
        <v>1092</v>
      </c>
      <c r="B577" t="s">
        <v>1093</v>
      </c>
      <c r="C577">
        <v>84</v>
      </c>
      <c r="D577" t="s">
        <v>18</v>
      </c>
      <c r="E577" s="2">
        <v>45906</v>
      </c>
      <c r="F577" s="2">
        <v>45908</v>
      </c>
      <c r="G577" t="s">
        <v>23</v>
      </c>
      <c r="H577" t="s">
        <v>28</v>
      </c>
      <c r="I577" s="3">
        <v>3526.66</v>
      </c>
      <c r="J577" t="s">
        <v>25</v>
      </c>
      <c r="K577" s="4">
        <v>1</v>
      </c>
      <c r="L577" s="3">
        <f t="shared" si="32"/>
        <v>3526.66</v>
      </c>
      <c r="M577" s="3">
        <f t="shared" si="33"/>
        <v>0</v>
      </c>
      <c r="N577">
        <f t="shared" si="34"/>
        <v>2</v>
      </c>
      <c r="O577" s="3">
        <f t="shared" si="35"/>
        <v>0</v>
      </c>
      <c r="P577" t="str" cm="1">
        <f t="array" ref="P577">_xlfn.IFS(C577&lt;18, "Under 18", C577&lt;36, "Btw 18&amp;35", C577&lt;51, "Btw 36&amp;50", C577&lt;66, "Btw 51&amp;65", C577&gt;=66," 66&amp;Above")</f>
        <v xml:space="preserve"> 66&amp;Above</v>
      </c>
    </row>
    <row r="578" spans="1:16">
      <c r="A578" t="s">
        <v>1094</v>
      </c>
      <c r="B578" t="s">
        <v>1095</v>
      </c>
      <c r="C578">
        <v>76</v>
      </c>
      <c r="D578" t="s">
        <v>18</v>
      </c>
      <c r="E578" s="2">
        <v>45777</v>
      </c>
      <c r="F578" s="2">
        <v>45781</v>
      </c>
      <c r="G578" t="s">
        <v>31</v>
      </c>
      <c r="H578" t="s">
        <v>114</v>
      </c>
      <c r="I578" s="3">
        <v>3004.47</v>
      </c>
      <c r="J578" t="s">
        <v>15</v>
      </c>
      <c r="K578" s="4">
        <v>0.8</v>
      </c>
      <c r="L578" s="3">
        <f t="shared" si="32"/>
        <v>2403.576</v>
      </c>
      <c r="M578" s="3">
        <f t="shared" si="33"/>
        <v>600.89399999999978</v>
      </c>
      <c r="N578">
        <f t="shared" si="34"/>
        <v>4</v>
      </c>
      <c r="O578" s="3">
        <f t="shared" si="35"/>
        <v>3004.47</v>
      </c>
      <c r="P578" t="str" cm="1">
        <f t="array" ref="P578">_xlfn.IFS(C578&lt;18, "Under 18", C578&lt;36, "Btw 18&amp;35", C578&lt;51, "Btw 36&amp;50", C578&lt;66, "Btw 51&amp;65", C578&gt;=66," 66&amp;Above")</f>
        <v xml:space="preserve"> 66&amp;Above</v>
      </c>
    </row>
    <row r="579" spans="1:16">
      <c r="A579" t="s">
        <v>1096</v>
      </c>
      <c r="B579" t="s">
        <v>1097</v>
      </c>
      <c r="C579">
        <v>55</v>
      </c>
      <c r="D579" t="s">
        <v>12</v>
      </c>
      <c r="E579" s="2">
        <v>45799</v>
      </c>
      <c r="F579" s="2">
        <v>45800</v>
      </c>
      <c r="G579" t="s">
        <v>23</v>
      </c>
      <c r="H579" t="s">
        <v>204</v>
      </c>
      <c r="I579" s="3">
        <v>988.47</v>
      </c>
      <c r="J579" t="s">
        <v>15</v>
      </c>
      <c r="K579" s="4">
        <v>0.9</v>
      </c>
      <c r="L579" s="3">
        <f t="shared" ref="L579:L642" si="36">I579*K579</f>
        <v>889.62300000000005</v>
      </c>
      <c r="M579" s="3">
        <f t="shared" ref="M579:M642" si="37">(100%-K579)*I579</f>
        <v>98.84699999999998</v>
      </c>
      <c r="N579">
        <f t="shared" ref="N579:N642" si="38">_xlfn.DAYS(F579,E579)</f>
        <v>1</v>
      </c>
      <c r="O579" s="3">
        <f t="shared" ref="O579:O642" si="39">IF(J579="Paid", I579, 0)</f>
        <v>988.47</v>
      </c>
      <c r="P579" t="str" cm="1">
        <f t="array" ref="P579">_xlfn.IFS(C579&lt;18, "Under 18", C579&lt;36, "Btw 18&amp;35", C579&lt;51, "Btw 36&amp;50", C579&lt;66, "Btw 51&amp;65", C579&gt;=66," 66&amp;Above")</f>
        <v>Btw 51&amp;65</v>
      </c>
    </row>
    <row r="580" spans="1:16">
      <c r="A580" t="s">
        <v>1098</v>
      </c>
      <c r="B580" t="s">
        <v>1099</v>
      </c>
      <c r="C580">
        <v>63</v>
      </c>
      <c r="D580" t="s">
        <v>18</v>
      </c>
      <c r="E580" s="2">
        <v>45845</v>
      </c>
      <c r="F580" s="2">
        <v>45852</v>
      </c>
      <c r="G580" t="s">
        <v>13</v>
      </c>
      <c r="H580" t="s">
        <v>165</v>
      </c>
      <c r="I580" s="3">
        <v>8993.9699999999993</v>
      </c>
      <c r="J580" t="s">
        <v>15</v>
      </c>
      <c r="K580" s="4">
        <v>0.6</v>
      </c>
      <c r="L580" s="3">
        <f t="shared" si="36"/>
        <v>5396.3819999999996</v>
      </c>
      <c r="M580" s="3">
        <f t="shared" si="37"/>
        <v>3597.5879999999997</v>
      </c>
      <c r="N580">
        <f t="shared" si="38"/>
        <v>7</v>
      </c>
      <c r="O580" s="3">
        <f t="shared" si="39"/>
        <v>8993.9699999999993</v>
      </c>
      <c r="P580" t="str" cm="1">
        <f t="array" ref="P580">_xlfn.IFS(C580&lt;18, "Under 18", C580&lt;36, "Btw 18&amp;35", C580&lt;51, "Btw 36&amp;50", C580&lt;66, "Btw 51&amp;65", C580&gt;=66," 66&amp;Above")</f>
        <v>Btw 51&amp;65</v>
      </c>
    </row>
    <row r="581" spans="1:16">
      <c r="A581" t="s">
        <v>1100</v>
      </c>
      <c r="B581" t="s">
        <v>1101</v>
      </c>
      <c r="C581">
        <v>66</v>
      </c>
      <c r="D581" t="s">
        <v>12</v>
      </c>
      <c r="E581" s="2">
        <v>45839</v>
      </c>
      <c r="F581" s="2">
        <v>45843</v>
      </c>
      <c r="G581" t="s">
        <v>13</v>
      </c>
      <c r="H581" t="s">
        <v>102</v>
      </c>
      <c r="I581" s="3">
        <v>7934.14</v>
      </c>
      <c r="J581" t="s">
        <v>15</v>
      </c>
      <c r="K581" s="4">
        <v>0.8</v>
      </c>
      <c r="L581" s="3">
        <f t="shared" si="36"/>
        <v>6347.3120000000008</v>
      </c>
      <c r="M581" s="3">
        <f t="shared" si="37"/>
        <v>1586.8279999999997</v>
      </c>
      <c r="N581">
        <f t="shared" si="38"/>
        <v>4</v>
      </c>
      <c r="O581" s="3">
        <f t="shared" si="39"/>
        <v>7934.14</v>
      </c>
      <c r="P581" t="str" cm="1">
        <f t="array" ref="P581">_xlfn.IFS(C581&lt;18, "Under 18", C581&lt;36, "Btw 18&amp;35", C581&lt;51, "Btw 36&amp;50", C581&lt;66, "Btw 51&amp;65", C581&gt;=66," 66&amp;Above")</f>
        <v xml:space="preserve"> 66&amp;Above</v>
      </c>
    </row>
    <row r="582" spans="1:16">
      <c r="A582" t="s">
        <v>1102</v>
      </c>
      <c r="B582" t="s">
        <v>1103</v>
      </c>
      <c r="C582">
        <v>35</v>
      </c>
      <c r="D582" t="s">
        <v>18</v>
      </c>
      <c r="E582" s="2">
        <v>45923</v>
      </c>
      <c r="F582" s="2">
        <v>45926</v>
      </c>
      <c r="G582" t="s">
        <v>23</v>
      </c>
      <c r="H582" t="s">
        <v>221</v>
      </c>
      <c r="I582" s="3">
        <v>2517.29</v>
      </c>
      <c r="J582" t="s">
        <v>15</v>
      </c>
      <c r="K582" s="4">
        <v>0.8</v>
      </c>
      <c r="L582" s="3">
        <f t="shared" si="36"/>
        <v>2013.8320000000001</v>
      </c>
      <c r="M582" s="3">
        <f t="shared" si="37"/>
        <v>503.45799999999986</v>
      </c>
      <c r="N582">
        <f t="shared" si="38"/>
        <v>3</v>
      </c>
      <c r="O582" s="3">
        <f t="shared" si="39"/>
        <v>2517.29</v>
      </c>
      <c r="P582" t="str" cm="1">
        <f t="array" ref="P582">_xlfn.IFS(C582&lt;18, "Under 18", C582&lt;36, "Btw 18&amp;35", C582&lt;51, "Btw 36&amp;50", C582&lt;66, "Btw 51&amp;65", C582&gt;=66," 66&amp;Above")</f>
        <v>Btw 18&amp;35</v>
      </c>
    </row>
    <row r="583" spans="1:16">
      <c r="A583" t="s">
        <v>1104</v>
      </c>
      <c r="B583" t="s">
        <v>1105</v>
      </c>
      <c r="C583">
        <v>48</v>
      </c>
      <c r="D583" t="s">
        <v>12</v>
      </c>
      <c r="E583" s="2">
        <v>45473</v>
      </c>
      <c r="F583" s="2">
        <v>45481</v>
      </c>
      <c r="G583" t="s">
        <v>13</v>
      </c>
      <c r="H583" t="s">
        <v>14</v>
      </c>
      <c r="I583" s="3">
        <v>12873.58</v>
      </c>
      <c r="J583" t="s">
        <v>20</v>
      </c>
      <c r="K583" s="4">
        <v>0.7</v>
      </c>
      <c r="L583" s="3">
        <f t="shared" si="36"/>
        <v>9011.5059999999994</v>
      </c>
      <c r="M583" s="3">
        <f t="shared" si="37"/>
        <v>3862.0740000000005</v>
      </c>
      <c r="N583">
        <f t="shared" si="38"/>
        <v>8</v>
      </c>
      <c r="O583" s="3">
        <f t="shared" si="39"/>
        <v>0</v>
      </c>
      <c r="P583" t="str" cm="1">
        <f t="array" ref="P583">_xlfn.IFS(C583&lt;18, "Under 18", C583&lt;36, "Btw 18&amp;35", C583&lt;51, "Btw 36&amp;50", C583&lt;66, "Btw 51&amp;65", C583&gt;=66," 66&amp;Above")</f>
        <v>Btw 36&amp;50</v>
      </c>
    </row>
    <row r="584" spans="1:16">
      <c r="A584" t="s">
        <v>1106</v>
      </c>
      <c r="B584" t="s">
        <v>1107</v>
      </c>
      <c r="C584">
        <v>73</v>
      </c>
      <c r="D584" t="s">
        <v>18</v>
      </c>
      <c r="E584" s="2">
        <v>45906</v>
      </c>
      <c r="F584" s="2">
        <v>45910</v>
      </c>
      <c r="G584" t="s">
        <v>31</v>
      </c>
      <c r="H584" t="s">
        <v>32</v>
      </c>
      <c r="I584" s="3">
        <v>5208.9799999999996</v>
      </c>
      <c r="J584" t="s">
        <v>15</v>
      </c>
      <c r="K584" s="4">
        <v>0.8</v>
      </c>
      <c r="L584" s="3">
        <f t="shared" si="36"/>
        <v>4167.1840000000002</v>
      </c>
      <c r="M584" s="3">
        <f t="shared" si="37"/>
        <v>1041.7959999999996</v>
      </c>
      <c r="N584">
        <f t="shared" si="38"/>
        <v>4</v>
      </c>
      <c r="O584" s="3">
        <f t="shared" si="39"/>
        <v>5208.9799999999996</v>
      </c>
      <c r="P584" t="str" cm="1">
        <f t="array" ref="P584">_xlfn.IFS(C584&lt;18, "Under 18", C584&lt;36, "Btw 18&amp;35", C584&lt;51, "Btw 36&amp;50", C584&lt;66, "Btw 51&amp;65", C584&gt;=66," 66&amp;Above")</f>
        <v xml:space="preserve"> 66&amp;Above</v>
      </c>
    </row>
    <row r="585" spans="1:16">
      <c r="A585" t="s">
        <v>1108</v>
      </c>
      <c r="B585" t="s">
        <v>1109</v>
      </c>
      <c r="C585">
        <v>80</v>
      </c>
      <c r="D585" t="s">
        <v>12</v>
      </c>
      <c r="E585" s="2">
        <v>45489</v>
      </c>
      <c r="F585" s="2">
        <v>45498</v>
      </c>
      <c r="G585" t="s">
        <v>13</v>
      </c>
      <c r="H585" t="s">
        <v>19</v>
      </c>
      <c r="I585" s="3">
        <v>16136.12</v>
      </c>
      <c r="J585" t="s">
        <v>15</v>
      </c>
      <c r="K585" s="4">
        <v>1</v>
      </c>
      <c r="L585" s="3">
        <f t="shared" si="36"/>
        <v>16136.12</v>
      </c>
      <c r="M585" s="3">
        <f t="shared" si="37"/>
        <v>0</v>
      </c>
      <c r="N585">
        <f t="shared" si="38"/>
        <v>9</v>
      </c>
      <c r="O585" s="3">
        <f t="shared" si="39"/>
        <v>16136.12</v>
      </c>
      <c r="P585" t="str" cm="1">
        <f t="array" ref="P585">_xlfn.IFS(C585&lt;18, "Under 18", C585&lt;36, "Btw 18&amp;35", C585&lt;51, "Btw 36&amp;50", C585&lt;66, "Btw 51&amp;65", C585&gt;=66," 66&amp;Above")</f>
        <v xml:space="preserve"> 66&amp;Above</v>
      </c>
    </row>
    <row r="586" spans="1:16">
      <c r="A586" t="s">
        <v>1110</v>
      </c>
      <c r="B586" t="s">
        <v>717</v>
      </c>
      <c r="C586">
        <v>10</v>
      </c>
      <c r="D586" t="s">
        <v>18</v>
      </c>
      <c r="E586" s="2">
        <v>45873</v>
      </c>
      <c r="F586" s="2">
        <v>45877</v>
      </c>
      <c r="G586" t="s">
        <v>49</v>
      </c>
      <c r="H586" t="s">
        <v>120</v>
      </c>
      <c r="I586" s="3">
        <v>4827.5</v>
      </c>
      <c r="J586" t="s">
        <v>25</v>
      </c>
      <c r="K586" s="4">
        <v>0.8</v>
      </c>
      <c r="L586" s="3">
        <f t="shared" si="36"/>
        <v>3862</v>
      </c>
      <c r="M586" s="3">
        <f t="shared" si="37"/>
        <v>965.49999999999977</v>
      </c>
      <c r="N586">
        <f t="shared" si="38"/>
        <v>4</v>
      </c>
      <c r="O586" s="3">
        <f t="shared" si="39"/>
        <v>0</v>
      </c>
      <c r="P586" t="str" cm="1">
        <f t="array" ref="P586">_xlfn.IFS(C586&lt;18, "Under 18", C586&lt;36, "Btw 18&amp;35", C586&lt;51, "Btw 36&amp;50", C586&lt;66, "Btw 51&amp;65", C586&gt;=66," 66&amp;Above")</f>
        <v>Under 18</v>
      </c>
    </row>
    <row r="587" spans="1:16">
      <c r="A587" t="s">
        <v>1111</v>
      </c>
      <c r="B587" t="s">
        <v>449</v>
      </c>
      <c r="C587">
        <v>19</v>
      </c>
      <c r="D587" t="s">
        <v>12</v>
      </c>
      <c r="E587" s="2">
        <v>45850</v>
      </c>
      <c r="F587" s="2">
        <v>45853</v>
      </c>
      <c r="G587" t="s">
        <v>23</v>
      </c>
      <c r="H587" t="s">
        <v>28</v>
      </c>
      <c r="I587" s="3">
        <v>6858.75</v>
      </c>
      <c r="J587" t="s">
        <v>20</v>
      </c>
      <c r="K587" s="4">
        <v>0.8</v>
      </c>
      <c r="L587" s="3">
        <f t="shared" si="36"/>
        <v>5487</v>
      </c>
      <c r="M587" s="3">
        <f t="shared" si="37"/>
        <v>1371.7499999999998</v>
      </c>
      <c r="N587">
        <f t="shared" si="38"/>
        <v>3</v>
      </c>
      <c r="O587" s="3">
        <f t="shared" si="39"/>
        <v>0</v>
      </c>
      <c r="P587" t="str" cm="1">
        <f t="array" ref="P587">_xlfn.IFS(C587&lt;18, "Under 18", C587&lt;36, "Btw 18&amp;35", C587&lt;51, "Btw 36&amp;50", C587&lt;66, "Btw 51&amp;65", C587&gt;=66," 66&amp;Above")</f>
        <v>Btw 18&amp;35</v>
      </c>
    </row>
    <row r="588" spans="1:16">
      <c r="A588" t="s">
        <v>1112</v>
      </c>
      <c r="B588" t="s">
        <v>1113</v>
      </c>
      <c r="C588">
        <v>9</v>
      </c>
      <c r="D588" t="s">
        <v>18</v>
      </c>
      <c r="E588" s="2">
        <v>45612</v>
      </c>
      <c r="F588" s="2">
        <v>45617</v>
      </c>
      <c r="G588" t="s">
        <v>49</v>
      </c>
      <c r="H588" t="s">
        <v>123</v>
      </c>
      <c r="I588" s="3">
        <v>6485.39</v>
      </c>
      <c r="J588" t="s">
        <v>25</v>
      </c>
      <c r="K588" s="4">
        <v>0.7</v>
      </c>
      <c r="L588" s="3">
        <f t="shared" si="36"/>
        <v>4539.7730000000001</v>
      </c>
      <c r="M588" s="3">
        <f t="shared" si="37"/>
        <v>1945.6170000000004</v>
      </c>
      <c r="N588">
        <f t="shared" si="38"/>
        <v>5</v>
      </c>
      <c r="O588" s="3">
        <f t="shared" si="39"/>
        <v>0</v>
      </c>
      <c r="P588" t="str" cm="1">
        <f t="array" ref="P588">_xlfn.IFS(C588&lt;18, "Under 18", C588&lt;36, "Btw 18&amp;35", C588&lt;51, "Btw 36&amp;50", C588&lt;66, "Btw 51&amp;65", C588&gt;=66," 66&amp;Above")</f>
        <v>Under 18</v>
      </c>
    </row>
    <row r="589" spans="1:16">
      <c r="A589" t="s">
        <v>1114</v>
      </c>
      <c r="B589" t="s">
        <v>1115</v>
      </c>
      <c r="C589">
        <v>71</v>
      </c>
      <c r="D589" t="s">
        <v>12</v>
      </c>
      <c r="E589" s="2">
        <v>45498</v>
      </c>
      <c r="F589" s="2">
        <v>45502</v>
      </c>
      <c r="G589" t="s">
        <v>31</v>
      </c>
      <c r="H589" t="s">
        <v>53</v>
      </c>
      <c r="I589" s="3">
        <v>5888.84</v>
      </c>
      <c r="J589" t="s">
        <v>15</v>
      </c>
      <c r="K589" s="4">
        <v>0.6</v>
      </c>
      <c r="L589" s="3">
        <f t="shared" si="36"/>
        <v>3533.3040000000001</v>
      </c>
      <c r="M589" s="3">
        <f t="shared" si="37"/>
        <v>2355.5360000000001</v>
      </c>
      <c r="N589">
        <f t="shared" si="38"/>
        <v>4</v>
      </c>
      <c r="O589" s="3">
        <f t="shared" si="39"/>
        <v>5888.84</v>
      </c>
      <c r="P589" t="str" cm="1">
        <f t="array" ref="P589">_xlfn.IFS(C589&lt;18, "Under 18", C589&lt;36, "Btw 18&amp;35", C589&lt;51, "Btw 36&amp;50", C589&lt;66, "Btw 51&amp;65", C589&gt;=66," 66&amp;Above")</f>
        <v xml:space="preserve"> 66&amp;Above</v>
      </c>
    </row>
    <row r="590" spans="1:16">
      <c r="A590" t="s">
        <v>1116</v>
      </c>
      <c r="B590" t="s">
        <v>1117</v>
      </c>
      <c r="C590">
        <v>57</v>
      </c>
      <c r="D590" t="s">
        <v>12</v>
      </c>
      <c r="E590" s="2">
        <v>45748</v>
      </c>
      <c r="F590" s="2">
        <v>45749</v>
      </c>
      <c r="G590" t="s">
        <v>31</v>
      </c>
      <c r="H590" t="s">
        <v>114</v>
      </c>
      <c r="I590" s="3">
        <v>988.37</v>
      </c>
      <c r="J590" t="s">
        <v>15</v>
      </c>
      <c r="K590" s="4">
        <v>0.9</v>
      </c>
      <c r="L590" s="3">
        <f t="shared" si="36"/>
        <v>889.53300000000002</v>
      </c>
      <c r="M590" s="3">
        <f t="shared" si="37"/>
        <v>98.836999999999975</v>
      </c>
      <c r="N590">
        <f t="shared" si="38"/>
        <v>1</v>
      </c>
      <c r="O590" s="3">
        <f t="shared" si="39"/>
        <v>988.37</v>
      </c>
      <c r="P590" t="str" cm="1">
        <f t="array" ref="P590">_xlfn.IFS(C590&lt;18, "Under 18", C590&lt;36, "Btw 18&amp;35", C590&lt;51, "Btw 36&amp;50", C590&lt;66, "Btw 51&amp;65", C590&gt;=66," 66&amp;Above")</f>
        <v>Btw 51&amp;65</v>
      </c>
    </row>
    <row r="591" spans="1:16">
      <c r="A591" t="s">
        <v>1118</v>
      </c>
      <c r="B591" t="s">
        <v>1119</v>
      </c>
      <c r="C591">
        <v>41</v>
      </c>
      <c r="D591" t="s">
        <v>12</v>
      </c>
      <c r="E591" s="2">
        <v>45304</v>
      </c>
      <c r="F591" s="2">
        <v>45317</v>
      </c>
      <c r="G591" t="s">
        <v>60</v>
      </c>
      <c r="H591" t="s">
        <v>133</v>
      </c>
      <c r="I591" s="3">
        <v>20871.689999999999</v>
      </c>
      <c r="J591" t="s">
        <v>25</v>
      </c>
      <c r="K591" s="4">
        <v>0.6</v>
      </c>
      <c r="L591" s="3">
        <f t="shared" si="36"/>
        <v>12523.013999999999</v>
      </c>
      <c r="M591" s="3">
        <f t="shared" si="37"/>
        <v>8348.6759999999995</v>
      </c>
      <c r="N591">
        <f t="shared" si="38"/>
        <v>13</v>
      </c>
      <c r="O591" s="3">
        <f t="shared" si="39"/>
        <v>0</v>
      </c>
      <c r="P591" t="str" cm="1">
        <f t="array" ref="P591">_xlfn.IFS(C591&lt;18, "Under 18", C591&lt;36, "Btw 18&amp;35", C591&lt;51, "Btw 36&amp;50", C591&lt;66, "Btw 51&amp;65", C591&gt;=66," 66&amp;Above")</f>
        <v>Btw 36&amp;50</v>
      </c>
    </row>
    <row r="592" spans="1:16">
      <c r="A592" t="s">
        <v>1120</v>
      </c>
      <c r="B592" t="s">
        <v>1121</v>
      </c>
      <c r="C592">
        <v>44</v>
      </c>
      <c r="D592" t="s">
        <v>18</v>
      </c>
      <c r="E592" s="2">
        <v>45926</v>
      </c>
      <c r="F592" s="2">
        <v>45932</v>
      </c>
      <c r="G592" t="s">
        <v>70</v>
      </c>
      <c r="H592" t="s">
        <v>157</v>
      </c>
      <c r="I592" s="3">
        <v>14061.87</v>
      </c>
      <c r="J592" t="s">
        <v>15</v>
      </c>
      <c r="K592" s="4">
        <v>0.5</v>
      </c>
      <c r="L592" s="3">
        <f t="shared" si="36"/>
        <v>7030.9350000000004</v>
      </c>
      <c r="M592" s="3">
        <f t="shared" si="37"/>
        <v>7030.9350000000004</v>
      </c>
      <c r="N592">
        <f t="shared" si="38"/>
        <v>6</v>
      </c>
      <c r="O592" s="3">
        <f t="shared" si="39"/>
        <v>14061.87</v>
      </c>
      <c r="P592" t="str" cm="1">
        <f t="array" ref="P592">_xlfn.IFS(C592&lt;18, "Under 18", C592&lt;36, "Btw 18&amp;35", C592&lt;51, "Btw 36&amp;50", C592&lt;66, "Btw 51&amp;65", C592&gt;=66," 66&amp;Above")</f>
        <v>Btw 36&amp;50</v>
      </c>
    </row>
    <row r="593" spans="1:16">
      <c r="A593" t="s">
        <v>1122</v>
      </c>
      <c r="B593" t="s">
        <v>1123</v>
      </c>
      <c r="C593">
        <v>74</v>
      </c>
      <c r="D593" t="s">
        <v>12</v>
      </c>
      <c r="E593" s="2">
        <v>45559</v>
      </c>
      <c r="F593" s="2">
        <v>45562</v>
      </c>
      <c r="G593" t="s">
        <v>31</v>
      </c>
      <c r="H593" t="s">
        <v>35</v>
      </c>
      <c r="I593" s="3">
        <v>3702.92</v>
      </c>
      <c r="J593" t="s">
        <v>20</v>
      </c>
      <c r="K593" s="4">
        <v>0.7</v>
      </c>
      <c r="L593" s="3">
        <f t="shared" si="36"/>
        <v>2592.0439999999999</v>
      </c>
      <c r="M593" s="3">
        <f t="shared" si="37"/>
        <v>1110.8760000000002</v>
      </c>
      <c r="N593">
        <f t="shared" si="38"/>
        <v>3</v>
      </c>
      <c r="O593" s="3">
        <f t="shared" si="39"/>
        <v>0</v>
      </c>
      <c r="P593" t="str" cm="1">
        <f t="array" ref="P593">_xlfn.IFS(C593&lt;18, "Under 18", C593&lt;36, "Btw 18&amp;35", C593&lt;51, "Btw 36&amp;50", C593&lt;66, "Btw 51&amp;65", C593&gt;=66," 66&amp;Above")</f>
        <v xml:space="preserve"> 66&amp;Above</v>
      </c>
    </row>
    <row r="594" spans="1:16">
      <c r="A594" t="s">
        <v>1124</v>
      </c>
      <c r="B594" t="s">
        <v>1125</v>
      </c>
      <c r="C594">
        <v>42</v>
      </c>
      <c r="D594" t="s">
        <v>12</v>
      </c>
      <c r="E594" s="2">
        <v>45382</v>
      </c>
      <c r="F594" s="2">
        <v>45386</v>
      </c>
      <c r="G594" t="s">
        <v>13</v>
      </c>
      <c r="H594" t="s">
        <v>102</v>
      </c>
      <c r="I594" s="3">
        <v>6940.9</v>
      </c>
      <c r="J594" t="s">
        <v>15</v>
      </c>
      <c r="K594" s="4">
        <v>0.7</v>
      </c>
      <c r="L594" s="3">
        <f t="shared" si="36"/>
        <v>4858.6299999999992</v>
      </c>
      <c r="M594" s="3">
        <f t="shared" si="37"/>
        <v>2082.27</v>
      </c>
      <c r="N594">
        <f t="shared" si="38"/>
        <v>4</v>
      </c>
      <c r="O594" s="3">
        <f t="shared" si="39"/>
        <v>6940.9</v>
      </c>
      <c r="P594" t="str" cm="1">
        <f t="array" ref="P594">_xlfn.IFS(C594&lt;18, "Under 18", C594&lt;36, "Btw 18&amp;35", C594&lt;51, "Btw 36&amp;50", C594&lt;66, "Btw 51&amp;65", C594&gt;=66," 66&amp;Above")</f>
        <v>Btw 36&amp;50</v>
      </c>
    </row>
    <row r="595" spans="1:16">
      <c r="A595" t="s">
        <v>1126</v>
      </c>
      <c r="B595" t="s">
        <v>941</v>
      </c>
      <c r="C595">
        <v>74</v>
      </c>
      <c r="D595" t="s">
        <v>12</v>
      </c>
      <c r="E595" s="2">
        <v>45849</v>
      </c>
      <c r="F595" s="2">
        <v>45858</v>
      </c>
      <c r="G595" t="s">
        <v>13</v>
      </c>
      <c r="H595" t="s">
        <v>19</v>
      </c>
      <c r="I595" s="3">
        <v>25312.2</v>
      </c>
      <c r="J595" t="s">
        <v>20</v>
      </c>
      <c r="K595" s="4">
        <v>0.7</v>
      </c>
      <c r="L595" s="3">
        <f t="shared" si="36"/>
        <v>17718.54</v>
      </c>
      <c r="M595" s="3">
        <f t="shared" si="37"/>
        <v>7593.6600000000017</v>
      </c>
      <c r="N595">
        <f t="shared" si="38"/>
        <v>9</v>
      </c>
      <c r="O595" s="3">
        <f t="shared" si="39"/>
        <v>0</v>
      </c>
      <c r="P595" t="str" cm="1">
        <f t="array" ref="P595">_xlfn.IFS(C595&lt;18, "Under 18", C595&lt;36, "Btw 18&amp;35", C595&lt;51, "Btw 36&amp;50", C595&lt;66, "Btw 51&amp;65", C595&gt;=66," 66&amp;Above")</f>
        <v xml:space="preserve"> 66&amp;Above</v>
      </c>
    </row>
    <row r="596" spans="1:16">
      <c r="A596" t="s">
        <v>1127</v>
      </c>
      <c r="B596" t="s">
        <v>1128</v>
      </c>
      <c r="C596">
        <v>20</v>
      </c>
      <c r="D596" t="s">
        <v>12</v>
      </c>
      <c r="E596" s="2">
        <v>45739</v>
      </c>
      <c r="F596" s="2">
        <v>45742</v>
      </c>
      <c r="G596" t="s">
        <v>23</v>
      </c>
      <c r="H596" t="s">
        <v>204</v>
      </c>
      <c r="I596" s="3">
        <v>4859.2700000000004</v>
      </c>
      <c r="J596" t="s">
        <v>20</v>
      </c>
      <c r="K596" s="4">
        <v>0.6</v>
      </c>
      <c r="L596" s="3">
        <f t="shared" si="36"/>
        <v>2915.5620000000004</v>
      </c>
      <c r="M596" s="3">
        <f t="shared" si="37"/>
        <v>1943.7080000000003</v>
      </c>
      <c r="N596">
        <f t="shared" si="38"/>
        <v>3</v>
      </c>
      <c r="O596" s="3">
        <f t="shared" si="39"/>
        <v>0</v>
      </c>
      <c r="P596" t="str" cm="1">
        <f t="array" ref="P596">_xlfn.IFS(C596&lt;18, "Under 18", C596&lt;36, "Btw 18&amp;35", C596&lt;51, "Btw 36&amp;50", C596&lt;66, "Btw 51&amp;65", C596&gt;=66," 66&amp;Above")</f>
        <v>Btw 18&amp;35</v>
      </c>
    </row>
    <row r="597" spans="1:16">
      <c r="A597" t="s">
        <v>1129</v>
      </c>
      <c r="B597" t="s">
        <v>1130</v>
      </c>
      <c r="C597">
        <v>7</v>
      </c>
      <c r="D597" t="s">
        <v>18</v>
      </c>
      <c r="E597" s="2">
        <v>45654</v>
      </c>
      <c r="F597" s="2">
        <v>45658</v>
      </c>
      <c r="G597" t="s">
        <v>49</v>
      </c>
      <c r="H597" t="s">
        <v>130</v>
      </c>
      <c r="I597" s="3">
        <v>5071.3900000000003</v>
      </c>
      <c r="J597" t="s">
        <v>25</v>
      </c>
      <c r="K597" s="4">
        <v>0.9</v>
      </c>
      <c r="L597" s="3">
        <f t="shared" si="36"/>
        <v>4564.2510000000002</v>
      </c>
      <c r="M597" s="3">
        <f t="shared" si="37"/>
        <v>507.1389999999999</v>
      </c>
      <c r="N597">
        <f t="shared" si="38"/>
        <v>4</v>
      </c>
      <c r="O597" s="3">
        <f t="shared" si="39"/>
        <v>0</v>
      </c>
      <c r="P597" t="str" cm="1">
        <f t="array" ref="P597">_xlfn.IFS(C597&lt;18, "Under 18", C597&lt;36, "Btw 18&amp;35", C597&lt;51, "Btw 36&amp;50", C597&lt;66, "Btw 51&amp;65", C597&gt;=66," 66&amp;Above")</f>
        <v>Under 18</v>
      </c>
    </row>
    <row r="598" spans="1:16">
      <c r="A598" t="s">
        <v>1131</v>
      </c>
      <c r="B598" t="s">
        <v>1132</v>
      </c>
      <c r="C598">
        <v>46</v>
      </c>
      <c r="D598" t="s">
        <v>18</v>
      </c>
      <c r="E598" s="2">
        <v>45394</v>
      </c>
      <c r="F598" s="2">
        <v>45395</v>
      </c>
      <c r="G598" t="s">
        <v>31</v>
      </c>
      <c r="H598" t="s">
        <v>44</v>
      </c>
      <c r="I598" s="3">
        <v>826.69</v>
      </c>
      <c r="J598" t="s">
        <v>15</v>
      </c>
      <c r="K598" s="4">
        <v>0.8</v>
      </c>
      <c r="L598" s="3">
        <f t="shared" si="36"/>
        <v>661.35200000000009</v>
      </c>
      <c r="M598" s="3">
        <f t="shared" si="37"/>
        <v>165.33799999999997</v>
      </c>
      <c r="N598">
        <f t="shared" si="38"/>
        <v>1</v>
      </c>
      <c r="O598" s="3">
        <f t="shared" si="39"/>
        <v>826.69</v>
      </c>
      <c r="P598" t="str" cm="1">
        <f t="array" ref="P598">_xlfn.IFS(C598&lt;18, "Under 18", C598&lt;36, "Btw 18&amp;35", C598&lt;51, "Btw 36&amp;50", C598&lt;66, "Btw 51&amp;65", C598&gt;=66," 66&amp;Above")</f>
        <v>Btw 36&amp;50</v>
      </c>
    </row>
    <row r="599" spans="1:16">
      <c r="A599" t="s">
        <v>1133</v>
      </c>
      <c r="B599" t="s">
        <v>877</v>
      </c>
      <c r="C599">
        <v>75</v>
      </c>
      <c r="D599" t="s">
        <v>12</v>
      </c>
      <c r="E599" s="2">
        <v>45466</v>
      </c>
      <c r="F599" s="2">
        <v>45469</v>
      </c>
      <c r="G599" t="s">
        <v>23</v>
      </c>
      <c r="H599" t="s">
        <v>24</v>
      </c>
      <c r="I599" s="3">
        <v>3573.44</v>
      </c>
      <c r="J599" t="s">
        <v>15</v>
      </c>
      <c r="K599" s="4">
        <v>0.8</v>
      </c>
      <c r="L599" s="3">
        <f t="shared" si="36"/>
        <v>2858.7520000000004</v>
      </c>
      <c r="M599" s="3">
        <f t="shared" si="37"/>
        <v>714.68799999999987</v>
      </c>
      <c r="N599">
        <f t="shared" si="38"/>
        <v>3</v>
      </c>
      <c r="O599" s="3">
        <f t="shared" si="39"/>
        <v>3573.44</v>
      </c>
      <c r="P599" t="str" cm="1">
        <f t="array" ref="P599">_xlfn.IFS(C599&lt;18, "Under 18", C599&lt;36, "Btw 18&amp;35", C599&lt;51, "Btw 36&amp;50", C599&lt;66, "Btw 51&amp;65", C599&gt;=66," 66&amp;Above")</f>
        <v xml:space="preserve"> 66&amp;Above</v>
      </c>
    </row>
    <row r="600" spans="1:16">
      <c r="A600" t="s">
        <v>1134</v>
      </c>
      <c r="B600" t="s">
        <v>1135</v>
      </c>
      <c r="C600">
        <v>17</v>
      </c>
      <c r="D600" t="s">
        <v>18</v>
      </c>
      <c r="E600" s="2">
        <v>45621</v>
      </c>
      <c r="F600" s="2">
        <v>45623</v>
      </c>
      <c r="G600" t="s">
        <v>49</v>
      </c>
      <c r="H600" t="s">
        <v>130</v>
      </c>
      <c r="I600" s="3">
        <v>3120.86</v>
      </c>
      <c r="J600" t="s">
        <v>15</v>
      </c>
      <c r="K600" s="4">
        <v>0.7</v>
      </c>
      <c r="L600" s="3">
        <f t="shared" si="36"/>
        <v>2184.6019999999999</v>
      </c>
      <c r="M600" s="3">
        <f t="shared" si="37"/>
        <v>936.25800000000015</v>
      </c>
      <c r="N600">
        <f t="shared" si="38"/>
        <v>2</v>
      </c>
      <c r="O600" s="3">
        <f t="shared" si="39"/>
        <v>3120.86</v>
      </c>
      <c r="P600" t="str" cm="1">
        <f t="array" ref="P600">_xlfn.IFS(C600&lt;18, "Under 18", C600&lt;36, "Btw 18&amp;35", C600&lt;51, "Btw 36&amp;50", C600&lt;66, "Btw 51&amp;65", C600&gt;=66," 66&amp;Above")</f>
        <v>Under 18</v>
      </c>
    </row>
    <row r="601" spans="1:16">
      <c r="A601" t="s">
        <v>1136</v>
      </c>
      <c r="B601" t="s">
        <v>1137</v>
      </c>
      <c r="C601">
        <v>36</v>
      </c>
      <c r="D601" t="s">
        <v>18</v>
      </c>
      <c r="E601" s="2">
        <v>45741</v>
      </c>
      <c r="F601" s="2">
        <v>45742</v>
      </c>
      <c r="G601" t="s">
        <v>23</v>
      </c>
      <c r="H601" t="s">
        <v>221</v>
      </c>
      <c r="I601" s="3">
        <v>1050.82</v>
      </c>
      <c r="J601" t="s">
        <v>20</v>
      </c>
      <c r="K601" s="4">
        <v>0.7</v>
      </c>
      <c r="L601" s="3">
        <f t="shared" si="36"/>
        <v>735.57399999999996</v>
      </c>
      <c r="M601" s="3">
        <f t="shared" si="37"/>
        <v>315.24600000000004</v>
      </c>
      <c r="N601">
        <f t="shared" si="38"/>
        <v>1</v>
      </c>
      <c r="O601" s="3">
        <f t="shared" si="39"/>
        <v>0</v>
      </c>
      <c r="P601" t="str" cm="1">
        <f t="array" ref="P601">_xlfn.IFS(C601&lt;18, "Under 18", C601&lt;36, "Btw 18&amp;35", C601&lt;51, "Btw 36&amp;50", C601&lt;66, "Btw 51&amp;65", C601&gt;=66," 66&amp;Above")</f>
        <v>Btw 36&amp;50</v>
      </c>
    </row>
    <row r="602" spans="1:16">
      <c r="A602" t="s">
        <v>1138</v>
      </c>
      <c r="B602" t="s">
        <v>1139</v>
      </c>
      <c r="C602">
        <v>58</v>
      </c>
      <c r="D602" t="s">
        <v>18</v>
      </c>
      <c r="E602" s="2">
        <v>45368</v>
      </c>
      <c r="F602" s="2">
        <v>45371</v>
      </c>
      <c r="G602" t="s">
        <v>23</v>
      </c>
      <c r="H602" t="s">
        <v>24</v>
      </c>
      <c r="I602" s="3">
        <v>4246.95</v>
      </c>
      <c r="J602" t="s">
        <v>25</v>
      </c>
      <c r="K602" s="4">
        <v>0.7</v>
      </c>
      <c r="L602" s="3">
        <f t="shared" si="36"/>
        <v>2972.8649999999998</v>
      </c>
      <c r="M602" s="3">
        <f t="shared" si="37"/>
        <v>1274.085</v>
      </c>
      <c r="N602">
        <f t="shared" si="38"/>
        <v>3</v>
      </c>
      <c r="O602" s="3">
        <f t="shared" si="39"/>
        <v>0</v>
      </c>
      <c r="P602" t="str" cm="1">
        <f t="array" ref="P602">_xlfn.IFS(C602&lt;18, "Under 18", C602&lt;36, "Btw 18&amp;35", C602&lt;51, "Btw 36&amp;50", C602&lt;66, "Btw 51&amp;65", C602&gt;=66," 66&amp;Above")</f>
        <v>Btw 51&amp;65</v>
      </c>
    </row>
    <row r="603" spans="1:16">
      <c r="A603" t="s">
        <v>1140</v>
      </c>
      <c r="B603" t="s">
        <v>1141</v>
      </c>
      <c r="C603">
        <v>24</v>
      </c>
      <c r="D603" t="s">
        <v>12</v>
      </c>
      <c r="E603" s="2">
        <v>45918</v>
      </c>
      <c r="F603" s="2">
        <v>45921</v>
      </c>
      <c r="G603" t="s">
        <v>23</v>
      </c>
      <c r="H603" t="s">
        <v>333</v>
      </c>
      <c r="I603" s="3">
        <v>3111.41</v>
      </c>
      <c r="J603" t="s">
        <v>15</v>
      </c>
      <c r="K603" s="4">
        <v>0.9</v>
      </c>
      <c r="L603" s="3">
        <f t="shared" si="36"/>
        <v>2800.2689999999998</v>
      </c>
      <c r="M603" s="3">
        <f t="shared" si="37"/>
        <v>311.14099999999991</v>
      </c>
      <c r="N603">
        <f t="shared" si="38"/>
        <v>3</v>
      </c>
      <c r="O603" s="3">
        <f t="shared" si="39"/>
        <v>3111.41</v>
      </c>
      <c r="P603" t="str" cm="1">
        <f t="array" ref="P603">_xlfn.IFS(C603&lt;18, "Under 18", C603&lt;36, "Btw 18&amp;35", C603&lt;51, "Btw 36&amp;50", C603&lt;66, "Btw 51&amp;65", C603&gt;=66," 66&amp;Above")</f>
        <v>Btw 18&amp;35</v>
      </c>
    </row>
    <row r="604" spans="1:16">
      <c r="A604" t="s">
        <v>1142</v>
      </c>
      <c r="B604" t="s">
        <v>439</v>
      </c>
      <c r="C604">
        <v>56</v>
      </c>
      <c r="D604" t="s">
        <v>18</v>
      </c>
      <c r="E604" s="2">
        <v>45630</v>
      </c>
      <c r="F604" s="2">
        <v>45635</v>
      </c>
      <c r="G604" t="s">
        <v>31</v>
      </c>
      <c r="H604" t="s">
        <v>32</v>
      </c>
      <c r="I604" s="3">
        <v>6980.98</v>
      </c>
      <c r="J604" t="s">
        <v>15</v>
      </c>
      <c r="K604" s="4">
        <v>0.9</v>
      </c>
      <c r="L604" s="3">
        <f t="shared" si="36"/>
        <v>6282.8819999999996</v>
      </c>
      <c r="M604" s="3">
        <f t="shared" si="37"/>
        <v>698.09799999999984</v>
      </c>
      <c r="N604">
        <f t="shared" si="38"/>
        <v>5</v>
      </c>
      <c r="O604" s="3">
        <f t="shared" si="39"/>
        <v>6980.98</v>
      </c>
      <c r="P604" t="str" cm="1">
        <f t="array" ref="P604">_xlfn.IFS(C604&lt;18, "Under 18", C604&lt;36, "Btw 18&amp;35", C604&lt;51, "Btw 36&amp;50", C604&lt;66, "Btw 51&amp;65", C604&gt;=66," 66&amp;Above")</f>
        <v>Btw 51&amp;65</v>
      </c>
    </row>
    <row r="605" spans="1:16">
      <c r="A605" t="s">
        <v>1143</v>
      </c>
      <c r="B605" t="s">
        <v>1144</v>
      </c>
      <c r="C605">
        <v>41</v>
      </c>
      <c r="D605" t="s">
        <v>12</v>
      </c>
      <c r="E605" s="2">
        <v>45330</v>
      </c>
      <c r="F605" s="2">
        <v>45339</v>
      </c>
      <c r="G605" t="s">
        <v>70</v>
      </c>
      <c r="H605" t="s">
        <v>194</v>
      </c>
      <c r="I605" s="3">
        <v>11620.41</v>
      </c>
      <c r="J605" t="s">
        <v>15</v>
      </c>
      <c r="K605" s="4">
        <v>1</v>
      </c>
      <c r="L605" s="3">
        <f t="shared" si="36"/>
        <v>11620.41</v>
      </c>
      <c r="M605" s="3">
        <f t="shared" si="37"/>
        <v>0</v>
      </c>
      <c r="N605">
        <f t="shared" si="38"/>
        <v>9</v>
      </c>
      <c r="O605" s="3">
        <f t="shared" si="39"/>
        <v>11620.41</v>
      </c>
      <c r="P605" t="str" cm="1">
        <f t="array" ref="P605">_xlfn.IFS(C605&lt;18, "Under 18", C605&lt;36, "Btw 18&amp;35", C605&lt;51, "Btw 36&amp;50", C605&lt;66, "Btw 51&amp;65", C605&gt;=66," 66&amp;Above")</f>
        <v>Btw 36&amp;50</v>
      </c>
    </row>
    <row r="606" spans="1:16">
      <c r="A606" t="s">
        <v>1145</v>
      </c>
      <c r="B606" t="s">
        <v>843</v>
      </c>
      <c r="C606">
        <v>50</v>
      </c>
      <c r="D606" t="s">
        <v>18</v>
      </c>
      <c r="E606" s="2">
        <v>45860</v>
      </c>
      <c r="F606" s="2">
        <v>45863</v>
      </c>
      <c r="G606" t="s">
        <v>23</v>
      </c>
      <c r="H606" t="s">
        <v>28</v>
      </c>
      <c r="I606" s="3">
        <v>3974.41</v>
      </c>
      <c r="J606" t="s">
        <v>15</v>
      </c>
      <c r="K606" s="4">
        <v>0.5</v>
      </c>
      <c r="L606" s="3">
        <f t="shared" si="36"/>
        <v>1987.2049999999999</v>
      </c>
      <c r="M606" s="3">
        <f t="shared" si="37"/>
        <v>1987.2049999999999</v>
      </c>
      <c r="N606">
        <f t="shared" si="38"/>
        <v>3</v>
      </c>
      <c r="O606" s="3">
        <f t="shared" si="39"/>
        <v>3974.41</v>
      </c>
      <c r="P606" t="str" cm="1">
        <f t="array" ref="P606">_xlfn.IFS(C606&lt;18, "Under 18", C606&lt;36, "Btw 18&amp;35", C606&lt;51, "Btw 36&amp;50", C606&lt;66, "Btw 51&amp;65", C606&gt;=66," 66&amp;Above")</f>
        <v>Btw 36&amp;50</v>
      </c>
    </row>
    <row r="607" spans="1:16">
      <c r="A607" t="s">
        <v>1146</v>
      </c>
      <c r="B607" t="s">
        <v>486</v>
      </c>
      <c r="C607">
        <v>72</v>
      </c>
      <c r="D607" t="s">
        <v>12</v>
      </c>
      <c r="E607" s="2">
        <v>45453</v>
      </c>
      <c r="F607" s="2">
        <v>45459</v>
      </c>
      <c r="G607" t="s">
        <v>70</v>
      </c>
      <c r="H607" t="s">
        <v>157</v>
      </c>
      <c r="I607" s="3">
        <v>14702.17</v>
      </c>
      <c r="J607" t="s">
        <v>20</v>
      </c>
      <c r="K607" s="4">
        <v>0.8</v>
      </c>
      <c r="L607" s="3">
        <f t="shared" si="36"/>
        <v>11761.736000000001</v>
      </c>
      <c r="M607" s="3">
        <f t="shared" si="37"/>
        <v>2940.4339999999993</v>
      </c>
      <c r="N607">
        <f t="shared" si="38"/>
        <v>6</v>
      </c>
      <c r="O607" s="3">
        <f t="shared" si="39"/>
        <v>0</v>
      </c>
      <c r="P607" t="str" cm="1">
        <f t="array" ref="P607">_xlfn.IFS(C607&lt;18, "Under 18", C607&lt;36, "Btw 18&amp;35", C607&lt;51, "Btw 36&amp;50", C607&lt;66, "Btw 51&amp;65", C607&gt;=66," 66&amp;Above")</f>
        <v xml:space="preserve"> 66&amp;Above</v>
      </c>
    </row>
    <row r="608" spans="1:16">
      <c r="A608" t="s">
        <v>1147</v>
      </c>
      <c r="B608" t="s">
        <v>1148</v>
      </c>
      <c r="C608">
        <v>41</v>
      </c>
      <c r="D608" t="s">
        <v>12</v>
      </c>
      <c r="E608" s="2">
        <v>45795</v>
      </c>
      <c r="F608" s="2">
        <v>45802</v>
      </c>
      <c r="G608" t="s">
        <v>13</v>
      </c>
      <c r="H608" t="s">
        <v>165</v>
      </c>
      <c r="I608" s="3">
        <v>17086.830000000002</v>
      </c>
      <c r="J608" t="s">
        <v>15</v>
      </c>
      <c r="K608" s="4">
        <v>0.9</v>
      </c>
      <c r="L608" s="3">
        <f t="shared" si="36"/>
        <v>15378.147000000003</v>
      </c>
      <c r="M608" s="3">
        <f t="shared" si="37"/>
        <v>1708.6829999999998</v>
      </c>
      <c r="N608">
        <f t="shared" si="38"/>
        <v>7</v>
      </c>
      <c r="O608" s="3">
        <f t="shared" si="39"/>
        <v>17086.830000000002</v>
      </c>
      <c r="P608" t="str" cm="1">
        <f t="array" ref="P608">_xlfn.IFS(C608&lt;18, "Under 18", C608&lt;36, "Btw 18&amp;35", C608&lt;51, "Btw 36&amp;50", C608&lt;66, "Btw 51&amp;65", C608&gt;=66," 66&amp;Above")</f>
        <v>Btw 36&amp;50</v>
      </c>
    </row>
    <row r="609" spans="1:16">
      <c r="A609" t="s">
        <v>1149</v>
      </c>
      <c r="B609" t="s">
        <v>820</v>
      </c>
      <c r="C609">
        <v>24</v>
      </c>
      <c r="D609" t="s">
        <v>12</v>
      </c>
      <c r="E609" s="2">
        <v>45304</v>
      </c>
      <c r="F609" s="2">
        <v>45305</v>
      </c>
      <c r="G609" t="s">
        <v>23</v>
      </c>
      <c r="H609" t="s">
        <v>82</v>
      </c>
      <c r="I609" s="3">
        <v>867.61</v>
      </c>
      <c r="J609" t="s">
        <v>15</v>
      </c>
      <c r="K609" s="4">
        <v>1</v>
      </c>
      <c r="L609" s="3">
        <f t="shared" si="36"/>
        <v>867.61</v>
      </c>
      <c r="M609" s="3">
        <f t="shared" si="37"/>
        <v>0</v>
      </c>
      <c r="N609">
        <f t="shared" si="38"/>
        <v>1</v>
      </c>
      <c r="O609" s="3">
        <f t="shared" si="39"/>
        <v>867.61</v>
      </c>
      <c r="P609" t="str" cm="1">
        <f t="array" ref="P609">_xlfn.IFS(C609&lt;18, "Under 18", C609&lt;36, "Btw 18&amp;35", C609&lt;51, "Btw 36&amp;50", C609&lt;66, "Btw 51&amp;65", C609&gt;=66," 66&amp;Above")</f>
        <v>Btw 18&amp;35</v>
      </c>
    </row>
    <row r="610" spans="1:16">
      <c r="A610" t="s">
        <v>1150</v>
      </c>
      <c r="B610" t="s">
        <v>1151</v>
      </c>
      <c r="C610">
        <v>51</v>
      </c>
      <c r="D610" t="s">
        <v>18</v>
      </c>
      <c r="E610" s="2">
        <v>45764</v>
      </c>
      <c r="F610" s="2">
        <v>45770</v>
      </c>
      <c r="G610" t="s">
        <v>31</v>
      </c>
      <c r="H610" t="s">
        <v>32</v>
      </c>
      <c r="I610" s="3">
        <v>4084.48</v>
      </c>
      <c r="J610" t="s">
        <v>15</v>
      </c>
      <c r="K610" s="4">
        <v>0.8</v>
      </c>
      <c r="L610" s="3">
        <f t="shared" si="36"/>
        <v>3267.5840000000003</v>
      </c>
      <c r="M610" s="3">
        <f t="shared" si="37"/>
        <v>816.89599999999984</v>
      </c>
      <c r="N610">
        <f t="shared" si="38"/>
        <v>6</v>
      </c>
      <c r="O610" s="3">
        <f t="shared" si="39"/>
        <v>4084.48</v>
      </c>
      <c r="P610" t="str" cm="1">
        <f t="array" ref="P610">_xlfn.IFS(C610&lt;18, "Under 18", C610&lt;36, "Btw 18&amp;35", C610&lt;51, "Btw 36&amp;50", C610&lt;66, "Btw 51&amp;65", C610&gt;=66," 66&amp;Above")</f>
        <v>Btw 51&amp;65</v>
      </c>
    </row>
    <row r="611" spans="1:16">
      <c r="A611" t="s">
        <v>1152</v>
      </c>
      <c r="B611" t="s">
        <v>1153</v>
      </c>
      <c r="C611">
        <v>84</v>
      </c>
      <c r="D611" t="s">
        <v>18</v>
      </c>
      <c r="E611" s="2">
        <v>45865</v>
      </c>
      <c r="F611" s="2">
        <v>45866</v>
      </c>
      <c r="G611" t="s">
        <v>31</v>
      </c>
      <c r="H611" t="s">
        <v>35</v>
      </c>
      <c r="I611" s="3">
        <v>1290.53</v>
      </c>
      <c r="J611" t="s">
        <v>15</v>
      </c>
      <c r="K611" s="4">
        <v>0.9</v>
      </c>
      <c r="L611" s="3">
        <f t="shared" si="36"/>
        <v>1161.4770000000001</v>
      </c>
      <c r="M611" s="3">
        <f t="shared" si="37"/>
        <v>129.05299999999997</v>
      </c>
      <c r="N611">
        <f t="shared" si="38"/>
        <v>1</v>
      </c>
      <c r="O611" s="3">
        <f t="shared" si="39"/>
        <v>1290.53</v>
      </c>
      <c r="P611" t="str" cm="1">
        <f t="array" ref="P611">_xlfn.IFS(C611&lt;18, "Under 18", C611&lt;36, "Btw 18&amp;35", C611&lt;51, "Btw 36&amp;50", C611&lt;66, "Btw 51&amp;65", C611&gt;=66," 66&amp;Above")</f>
        <v xml:space="preserve"> 66&amp;Above</v>
      </c>
    </row>
    <row r="612" spans="1:16">
      <c r="A612" t="s">
        <v>1154</v>
      </c>
      <c r="B612" t="s">
        <v>721</v>
      </c>
      <c r="C612">
        <v>3</v>
      </c>
      <c r="D612" t="s">
        <v>18</v>
      </c>
      <c r="E612" s="2">
        <v>45643</v>
      </c>
      <c r="F612" s="2">
        <v>45647</v>
      </c>
      <c r="G612" t="s">
        <v>49</v>
      </c>
      <c r="H612" t="s">
        <v>123</v>
      </c>
      <c r="I612" s="3">
        <v>3707.94</v>
      </c>
      <c r="J612" t="s">
        <v>15</v>
      </c>
      <c r="K612" s="4">
        <v>0.9</v>
      </c>
      <c r="L612" s="3">
        <f t="shared" si="36"/>
        <v>3337.1460000000002</v>
      </c>
      <c r="M612" s="3">
        <f t="shared" si="37"/>
        <v>370.79399999999993</v>
      </c>
      <c r="N612">
        <f t="shared" si="38"/>
        <v>4</v>
      </c>
      <c r="O612" s="3">
        <f t="shared" si="39"/>
        <v>3707.94</v>
      </c>
      <c r="P612" t="str" cm="1">
        <f t="array" ref="P612">_xlfn.IFS(C612&lt;18, "Under 18", C612&lt;36, "Btw 18&amp;35", C612&lt;51, "Btw 36&amp;50", C612&lt;66, "Btw 51&amp;65", C612&gt;=66," 66&amp;Above")</f>
        <v>Under 18</v>
      </c>
    </row>
    <row r="613" spans="1:16">
      <c r="A613" t="s">
        <v>1155</v>
      </c>
      <c r="B613" t="s">
        <v>1156</v>
      </c>
      <c r="C613">
        <v>57</v>
      </c>
      <c r="D613" t="s">
        <v>12</v>
      </c>
      <c r="E613" s="2">
        <v>45779</v>
      </c>
      <c r="F613" s="2">
        <v>45788</v>
      </c>
      <c r="G613" t="s">
        <v>70</v>
      </c>
      <c r="H613" t="s">
        <v>71</v>
      </c>
      <c r="I613" s="3">
        <v>15346.13</v>
      </c>
      <c r="J613" t="s">
        <v>15</v>
      </c>
      <c r="K613" s="4">
        <v>0.8</v>
      </c>
      <c r="L613" s="3">
        <f t="shared" si="36"/>
        <v>12276.904</v>
      </c>
      <c r="M613" s="3">
        <f t="shared" si="37"/>
        <v>3069.2259999999992</v>
      </c>
      <c r="N613">
        <f t="shared" si="38"/>
        <v>9</v>
      </c>
      <c r="O613" s="3">
        <f t="shared" si="39"/>
        <v>15346.13</v>
      </c>
      <c r="P613" t="str" cm="1">
        <f t="array" ref="P613">_xlfn.IFS(C613&lt;18, "Under 18", C613&lt;36, "Btw 18&amp;35", C613&lt;51, "Btw 36&amp;50", C613&lt;66, "Btw 51&amp;65", C613&gt;=66," 66&amp;Above")</f>
        <v>Btw 51&amp;65</v>
      </c>
    </row>
    <row r="614" spans="1:16">
      <c r="A614" t="s">
        <v>1157</v>
      </c>
      <c r="B614" t="s">
        <v>1158</v>
      </c>
      <c r="C614">
        <v>45</v>
      </c>
      <c r="D614" t="s">
        <v>18</v>
      </c>
      <c r="E614" s="2">
        <v>45749</v>
      </c>
      <c r="F614" s="2">
        <v>45754</v>
      </c>
      <c r="G614" t="s">
        <v>31</v>
      </c>
      <c r="H614" t="s">
        <v>53</v>
      </c>
      <c r="I614" s="3">
        <v>4821.37</v>
      </c>
      <c r="J614" t="s">
        <v>15</v>
      </c>
      <c r="K614" s="4">
        <v>0.8</v>
      </c>
      <c r="L614" s="3">
        <f t="shared" si="36"/>
        <v>3857.096</v>
      </c>
      <c r="M614" s="3">
        <f t="shared" si="37"/>
        <v>964.27399999999977</v>
      </c>
      <c r="N614">
        <f t="shared" si="38"/>
        <v>5</v>
      </c>
      <c r="O614" s="3">
        <f t="shared" si="39"/>
        <v>4821.37</v>
      </c>
      <c r="P614" t="str" cm="1">
        <f t="array" ref="P614">_xlfn.IFS(C614&lt;18, "Under 18", C614&lt;36, "Btw 18&amp;35", C614&lt;51, "Btw 36&amp;50", C614&lt;66, "Btw 51&amp;65", C614&gt;=66," 66&amp;Above")</f>
        <v>Btw 36&amp;50</v>
      </c>
    </row>
    <row r="615" spans="1:16">
      <c r="A615" t="s">
        <v>1159</v>
      </c>
      <c r="B615" t="s">
        <v>1160</v>
      </c>
      <c r="C615">
        <v>69</v>
      </c>
      <c r="D615" t="s">
        <v>12</v>
      </c>
      <c r="E615" s="2">
        <v>45894</v>
      </c>
      <c r="F615" s="2">
        <v>45901</v>
      </c>
      <c r="G615" t="s">
        <v>13</v>
      </c>
      <c r="H615" t="s">
        <v>102</v>
      </c>
      <c r="I615" s="3">
        <v>15787.69</v>
      </c>
      <c r="J615" t="s">
        <v>15</v>
      </c>
      <c r="K615" s="4">
        <v>1</v>
      </c>
      <c r="L615" s="3">
        <f t="shared" si="36"/>
        <v>15787.69</v>
      </c>
      <c r="M615" s="3">
        <f t="shared" si="37"/>
        <v>0</v>
      </c>
      <c r="N615">
        <f t="shared" si="38"/>
        <v>7</v>
      </c>
      <c r="O615" s="3">
        <f t="shared" si="39"/>
        <v>15787.69</v>
      </c>
      <c r="P615" t="str" cm="1">
        <f t="array" ref="P615">_xlfn.IFS(C615&lt;18, "Under 18", C615&lt;36, "Btw 18&amp;35", C615&lt;51, "Btw 36&amp;50", C615&lt;66, "Btw 51&amp;65", C615&gt;=66," 66&amp;Above")</f>
        <v xml:space="preserve"> 66&amp;Above</v>
      </c>
    </row>
    <row r="616" spans="1:16">
      <c r="A616" t="s">
        <v>1161</v>
      </c>
      <c r="B616" t="s">
        <v>1095</v>
      </c>
      <c r="C616">
        <v>14</v>
      </c>
      <c r="D616" t="s">
        <v>18</v>
      </c>
      <c r="E616" s="2">
        <v>45923</v>
      </c>
      <c r="F616" s="2">
        <v>45926</v>
      </c>
      <c r="G616" t="s">
        <v>49</v>
      </c>
      <c r="H616" t="s">
        <v>120</v>
      </c>
      <c r="I616" s="3">
        <v>5118.0600000000004</v>
      </c>
      <c r="J616" t="s">
        <v>15</v>
      </c>
      <c r="K616" s="4">
        <v>0.8</v>
      </c>
      <c r="L616" s="3">
        <f t="shared" si="36"/>
        <v>4094.4480000000003</v>
      </c>
      <c r="M616" s="3">
        <f t="shared" si="37"/>
        <v>1023.6119999999999</v>
      </c>
      <c r="N616">
        <f t="shared" si="38"/>
        <v>3</v>
      </c>
      <c r="O616" s="3">
        <f t="shared" si="39"/>
        <v>5118.0600000000004</v>
      </c>
      <c r="P616" t="str" cm="1">
        <f t="array" ref="P616">_xlfn.IFS(C616&lt;18, "Under 18", C616&lt;36, "Btw 18&amp;35", C616&lt;51, "Btw 36&amp;50", C616&lt;66, "Btw 51&amp;65", C616&gt;=66," 66&amp;Above")</f>
        <v>Under 18</v>
      </c>
    </row>
    <row r="617" spans="1:16">
      <c r="A617" t="s">
        <v>1162</v>
      </c>
      <c r="B617" t="s">
        <v>1163</v>
      </c>
      <c r="C617">
        <v>36</v>
      </c>
      <c r="D617" t="s">
        <v>18</v>
      </c>
      <c r="E617" s="2">
        <v>45643</v>
      </c>
      <c r="F617" s="2">
        <v>45644</v>
      </c>
      <c r="G617" t="s">
        <v>23</v>
      </c>
      <c r="H617" t="s">
        <v>41</v>
      </c>
      <c r="I617" s="3">
        <v>1184.98</v>
      </c>
      <c r="J617" t="s">
        <v>15</v>
      </c>
      <c r="K617" s="4">
        <v>0.8</v>
      </c>
      <c r="L617" s="3">
        <f t="shared" si="36"/>
        <v>947.98400000000004</v>
      </c>
      <c r="M617" s="3">
        <f t="shared" si="37"/>
        <v>236.99599999999995</v>
      </c>
      <c r="N617">
        <f t="shared" si="38"/>
        <v>1</v>
      </c>
      <c r="O617" s="3">
        <f t="shared" si="39"/>
        <v>1184.98</v>
      </c>
      <c r="P617" t="str" cm="1">
        <f t="array" ref="P617">_xlfn.IFS(C617&lt;18, "Under 18", C617&lt;36, "Btw 18&amp;35", C617&lt;51, "Btw 36&amp;50", C617&lt;66, "Btw 51&amp;65", C617&gt;=66," 66&amp;Above")</f>
        <v>Btw 36&amp;50</v>
      </c>
    </row>
    <row r="618" spans="1:16">
      <c r="A618" t="s">
        <v>1164</v>
      </c>
      <c r="B618" t="s">
        <v>1165</v>
      </c>
      <c r="C618">
        <v>16</v>
      </c>
      <c r="D618" t="s">
        <v>18</v>
      </c>
      <c r="E618" s="2">
        <v>45317</v>
      </c>
      <c r="F618" s="2">
        <v>45320</v>
      </c>
      <c r="G618" t="s">
        <v>49</v>
      </c>
      <c r="H618" t="s">
        <v>378</v>
      </c>
      <c r="I618" s="3">
        <v>2558.2800000000002</v>
      </c>
      <c r="J618" t="s">
        <v>15</v>
      </c>
      <c r="K618" s="4">
        <v>0.9</v>
      </c>
      <c r="L618" s="3">
        <f t="shared" si="36"/>
        <v>2302.4520000000002</v>
      </c>
      <c r="M618" s="3">
        <f t="shared" si="37"/>
        <v>255.82799999999997</v>
      </c>
      <c r="N618">
        <f t="shared" si="38"/>
        <v>3</v>
      </c>
      <c r="O618" s="3">
        <f t="shared" si="39"/>
        <v>2558.2800000000002</v>
      </c>
      <c r="P618" t="str" cm="1">
        <f t="array" ref="P618">_xlfn.IFS(C618&lt;18, "Under 18", C618&lt;36, "Btw 18&amp;35", C618&lt;51, "Btw 36&amp;50", C618&lt;66, "Btw 51&amp;65", C618&gt;=66," 66&amp;Above")</f>
        <v>Under 18</v>
      </c>
    </row>
    <row r="619" spans="1:16">
      <c r="A619" t="s">
        <v>1166</v>
      </c>
      <c r="B619" t="s">
        <v>1167</v>
      </c>
      <c r="C619">
        <v>76</v>
      </c>
      <c r="D619" t="s">
        <v>12</v>
      </c>
      <c r="E619" s="2">
        <v>45670</v>
      </c>
      <c r="F619" s="2">
        <v>45673</v>
      </c>
      <c r="G619" t="s">
        <v>13</v>
      </c>
      <c r="H619" t="s">
        <v>111</v>
      </c>
      <c r="I619" s="3">
        <v>3998.34</v>
      </c>
      <c r="J619" t="s">
        <v>15</v>
      </c>
      <c r="K619" s="4">
        <v>1</v>
      </c>
      <c r="L619" s="3">
        <f t="shared" si="36"/>
        <v>3998.34</v>
      </c>
      <c r="M619" s="3">
        <f t="shared" si="37"/>
        <v>0</v>
      </c>
      <c r="N619">
        <f t="shared" si="38"/>
        <v>3</v>
      </c>
      <c r="O619" s="3">
        <f t="shared" si="39"/>
        <v>3998.34</v>
      </c>
      <c r="P619" t="str" cm="1">
        <f t="array" ref="P619">_xlfn.IFS(C619&lt;18, "Under 18", C619&lt;36, "Btw 18&amp;35", C619&lt;51, "Btw 36&amp;50", C619&lt;66, "Btw 51&amp;65", C619&gt;=66," 66&amp;Above")</f>
        <v xml:space="preserve"> 66&amp;Above</v>
      </c>
    </row>
    <row r="620" spans="1:16">
      <c r="A620" t="s">
        <v>1168</v>
      </c>
      <c r="B620" t="s">
        <v>229</v>
      </c>
      <c r="C620">
        <v>68</v>
      </c>
      <c r="D620" t="s">
        <v>18</v>
      </c>
      <c r="E620" s="2">
        <v>45626</v>
      </c>
      <c r="F620" s="2">
        <v>45629</v>
      </c>
      <c r="G620" t="s">
        <v>60</v>
      </c>
      <c r="H620" t="s">
        <v>74</v>
      </c>
      <c r="I620" s="3">
        <v>4286.6400000000003</v>
      </c>
      <c r="J620" t="s">
        <v>20</v>
      </c>
      <c r="K620" s="4">
        <v>0.7</v>
      </c>
      <c r="L620" s="3">
        <f t="shared" si="36"/>
        <v>3000.6480000000001</v>
      </c>
      <c r="M620" s="3">
        <f t="shared" si="37"/>
        <v>1285.9920000000002</v>
      </c>
      <c r="N620">
        <f t="shared" si="38"/>
        <v>3</v>
      </c>
      <c r="O620" s="3">
        <f t="shared" si="39"/>
        <v>0</v>
      </c>
      <c r="P620" t="str" cm="1">
        <f t="array" ref="P620">_xlfn.IFS(C620&lt;18, "Under 18", C620&lt;36, "Btw 18&amp;35", C620&lt;51, "Btw 36&amp;50", C620&lt;66, "Btw 51&amp;65", C620&gt;=66," 66&amp;Above")</f>
        <v xml:space="preserve"> 66&amp;Above</v>
      </c>
    </row>
    <row r="621" spans="1:16">
      <c r="A621" t="s">
        <v>1169</v>
      </c>
      <c r="B621" t="s">
        <v>895</v>
      </c>
      <c r="C621">
        <v>73</v>
      </c>
      <c r="D621" t="s">
        <v>18</v>
      </c>
      <c r="E621" s="2">
        <v>45956</v>
      </c>
      <c r="F621" s="2">
        <v>45965</v>
      </c>
      <c r="G621" t="s">
        <v>13</v>
      </c>
      <c r="H621" t="s">
        <v>38</v>
      </c>
      <c r="I621" s="3">
        <v>21392.04</v>
      </c>
      <c r="J621" t="s">
        <v>15</v>
      </c>
      <c r="K621" s="4">
        <v>0.8</v>
      </c>
      <c r="L621" s="3">
        <f t="shared" si="36"/>
        <v>17113.632000000001</v>
      </c>
      <c r="M621" s="3">
        <f t="shared" si="37"/>
        <v>4278.4079999999994</v>
      </c>
      <c r="N621">
        <f t="shared" si="38"/>
        <v>9</v>
      </c>
      <c r="O621" s="3">
        <f t="shared" si="39"/>
        <v>21392.04</v>
      </c>
      <c r="P621" t="str" cm="1">
        <f t="array" ref="P621">_xlfn.IFS(C621&lt;18, "Under 18", C621&lt;36, "Btw 18&amp;35", C621&lt;51, "Btw 36&amp;50", C621&lt;66, "Btw 51&amp;65", C621&gt;=66," 66&amp;Above")</f>
        <v xml:space="preserve"> 66&amp;Above</v>
      </c>
    </row>
    <row r="622" spans="1:16">
      <c r="A622" t="s">
        <v>1170</v>
      </c>
      <c r="B622" t="s">
        <v>1171</v>
      </c>
      <c r="C622">
        <v>37</v>
      </c>
      <c r="D622" t="s">
        <v>12</v>
      </c>
      <c r="E622" s="2">
        <v>45983</v>
      </c>
      <c r="F622" s="2">
        <v>45985</v>
      </c>
      <c r="G622" t="s">
        <v>23</v>
      </c>
      <c r="H622" t="s">
        <v>41</v>
      </c>
      <c r="I622" s="3">
        <v>3201.39</v>
      </c>
      <c r="J622" t="s">
        <v>15</v>
      </c>
      <c r="K622" s="4">
        <v>0.8</v>
      </c>
      <c r="L622" s="3">
        <f t="shared" si="36"/>
        <v>2561.1120000000001</v>
      </c>
      <c r="M622" s="3">
        <f t="shared" si="37"/>
        <v>640.27799999999979</v>
      </c>
      <c r="N622">
        <f t="shared" si="38"/>
        <v>2</v>
      </c>
      <c r="O622" s="3">
        <f t="shared" si="39"/>
        <v>3201.39</v>
      </c>
      <c r="P622" t="str" cm="1">
        <f t="array" ref="P622">_xlfn.IFS(C622&lt;18, "Under 18", C622&lt;36, "Btw 18&amp;35", C622&lt;51, "Btw 36&amp;50", C622&lt;66, "Btw 51&amp;65", C622&gt;=66," 66&amp;Above")</f>
        <v>Btw 36&amp;50</v>
      </c>
    </row>
    <row r="623" spans="1:16">
      <c r="A623" t="s">
        <v>1172</v>
      </c>
      <c r="B623" t="s">
        <v>799</v>
      </c>
      <c r="C623">
        <v>11</v>
      </c>
      <c r="D623" t="s">
        <v>12</v>
      </c>
      <c r="E623" s="2">
        <v>45501</v>
      </c>
      <c r="F623" s="2">
        <v>45503</v>
      </c>
      <c r="G623" t="s">
        <v>49</v>
      </c>
      <c r="H623" t="s">
        <v>120</v>
      </c>
      <c r="I623" s="3">
        <v>3300.07</v>
      </c>
      <c r="J623" t="s">
        <v>15</v>
      </c>
      <c r="K623" s="4">
        <v>1</v>
      </c>
      <c r="L623" s="3">
        <f t="shared" si="36"/>
        <v>3300.07</v>
      </c>
      <c r="M623" s="3">
        <f t="shared" si="37"/>
        <v>0</v>
      </c>
      <c r="N623">
        <f t="shared" si="38"/>
        <v>2</v>
      </c>
      <c r="O623" s="3">
        <f t="shared" si="39"/>
        <v>3300.07</v>
      </c>
      <c r="P623" t="str" cm="1">
        <f t="array" ref="P623">_xlfn.IFS(C623&lt;18, "Under 18", C623&lt;36, "Btw 18&amp;35", C623&lt;51, "Btw 36&amp;50", C623&lt;66, "Btw 51&amp;65", C623&gt;=66," 66&amp;Above")</f>
        <v>Under 18</v>
      </c>
    </row>
    <row r="624" spans="1:16">
      <c r="A624" t="s">
        <v>1173</v>
      </c>
      <c r="B624" t="s">
        <v>1174</v>
      </c>
      <c r="C624">
        <v>7</v>
      </c>
      <c r="D624" t="s">
        <v>12</v>
      </c>
      <c r="E624" s="2">
        <v>45812</v>
      </c>
      <c r="F624" s="2">
        <v>45813</v>
      </c>
      <c r="G624" t="s">
        <v>49</v>
      </c>
      <c r="H624" t="s">
        <v>123</v>
      </c>
      <c r="I624" s="3">
        <v>784.49</v>
      </c>
      <c r="J624" t="s">
        <v>15</v>
      </c>
      <c r="K624" s="4">
        <v>0.9</v>
      </c>
      <c r="L624" s="3">
        <f t="shared" si="36"/>
        <v>706.04100000000005</v>
      </c>
      <c r="M624" s="3">
        <f t="shared" si="37"/>
        <v>78.448999999999984</v>
      </c>
      <c r="N624">
        <f t="shared" si="38"/>
        <v>1</v>
      </c>
      <c r="O624" s="3">
        <f t="shared" si="39"/>
        <v>784.49</v>
      </c>
      <c r="P624" t="str" cm="1">
        <f t="array" ref="P624">_xlfn.IFS(C624&lt;18, "Under 18", C624&lt;36, "Btw 18&amp;35", C624&lt;51, "Btw 36&amp;50", C624&lt;66, "Btw 51&amp;65", C624&gt;=66," 66&amp;Above")</f>
        <v>Under 18</v>
      </c>
    </row>
    <row r="625" spans="1:16">
      <c r="A625" t="s">
        <v>1175</v>
      </c>
      <c r="B625" t="s">
        <v>1176</v>
      </c>
      <c r="C625">
        <v>26</v>
      </c>
      <c r="D625" t="s">
        <v>12</v>
      </c>
      <c r="E625" s="2">
        <v>45695</v>
      </c>
      <c r="F625" s="2">
        <v>45696</v>
      </c>
      <c r="G625" t="s">
        <v>31</v>
      </c>
      <c r="H625" t="s">
        <v>44</v>
      </c>
      <c r="I625" s="3">
        <v>1170.5999999999999</v>
      </c>
      <c r="J625" t="s">
        <v>15</v>
      </c>
      <c r="K625" s="4">
        <v>0.8</v>
      </c>
      <c r="L625" s="3">
        <f t="shared" si="36"/>
        <v>936.48</v>
      </c>
      <c r="M625" s="3">
        <f t="shared" si="37"/>
        <v>234.11999999999992</v>
      </c>
      <c r="N625">
        <f t="shared" si="38"/>
        <v>1</v>
      </c>
      <c r="O625" s="3">
        <f t="shared" si="39"/>
        <v>1170.5999999999999</v>
      </c>
      <c r="P625" t="str" cm="1">
        <f t="array" ref="P625">_xlfn.IFS(C625&lt;18, "Under 18", C625&lt;36, "Btw 18&amp;35", C625&lt;51, "Btw 36&amp;50", C625&lt;66, "Btw 51&amp;65", C625&gt;=66," 66&amp;Above")</f>
        <v>Btw 18&amp;35</v>
      </c>
    </row>
    <row r="626" spans="1:16">
      <c r="A626" t="s">
        <v>1177</v>
      </c>
      <c r="B626" t="s">
        <v>369</v>
      </c>
      <c r="C626">
        <v>61</v>
      </c>
      <c r="D626" t="s">
        <v>12</v>
      </c>
      <c r="E626" s="2">
        <v>45600</v>
      </c>
      <c r="F626" s="2">
        <v>45604</v>
      </c>
      <c r="G626" t="s">
        <v>13</v>
      </c>
      <c r="H626" t="s">
        <v>14</v>
      </c>
      <c r="I626" s="3">
        <v>11503.8</v>
      </c>
      <c r="J626" t="s">
        <v>25</v>
      </c>
      <c r="K626" s="4">
        <v>0.6</v>
      </c>
      <c r="L626" s="3">
        <f t="shared" si="36"/>
        <v>6902.28</v>
      </c>
      <c r="M626" s="3">
        <f t="shared" si="37"/>
        <v>4601.5199999999995</v>
      </c>
      <c r="N626">
        <f t="shared" si="38"/>
        <v>4</v>
      </c>
      <c r="O626" s="3">
        <f t="shared" si="39"/>
        <v>0</v>
      </c>
      <c r="P626" t="str" cm="1">
        <f t="array" ref="P626">_xlfn.IFS(C626&lt;18, "Under 18", C626&lt;36, "Btw 18&amp;35", C626&lt;51, "Btw 36&amp;50", C626&lt;66, "Btw 51&amp;65", C626&gt;=66," 66&amp;Above")</f>
        <v>Btw 51&amp;65</v>
      </c>
    </row>
    <row r="627" spans="1:16">
      <c r="A627" t="s">
        <v>1178</v>
      </c>
      <c r="B627" t="s">
        <v>404</v>
      </c>
      <c r="C627">
        <v>8</v>
      </c>
      <c r="D627" t="s">
        <v>18</v>
      </c>
      <c r="E627" s="2">
        <v>45836</v>
      </c>
      <c r="F627" s="2">
        <v>45838</v>
      </c>
      <c r="G627" t="s">
        <v>49</v>
      </c>
      <c r="H627" t="s">
        <v>130</v>
      </c>
      <c r="I627" s="3">
        <v>1522.86</v>
      </c>
      <c r="J627" t="s">
        <v>20</v>
      </c>
      <c r="K627" s="4">
        <v>0.9</v>
      </c>
      <c r="L627" s="3">
        <f t="shared" si="36"/>
        <v>1370.5739999999998</v>
      </c>
      <c r="M627" s="3">
        <f t="shared" si="37"/>
        <v>152.28599999999994</v>
      </c>
      <c r="N627">
        <f t="shared" si="38"/>
        <v>2</v>
      </c>
      <c r="O627" s="3">
        <f t="shared" si="39"/>
        <v>0</v>
      </c>
      <c r="P627" t="str" cm="1">
        <f t="array" ref="P627">_xlfn.IFS(C627&lt;18, "Under 18", C627&lt;36, "Btw 18&amp;35", C627&lt;51, "Btw 36&amp;50", C627&lt;66, "Btw 51&amp;65", C627&gt;=66," 66&amp;Above")</f>
        <v>Under 18</v>
      </c>
    </row>
    <row r="628" spans="1:16">
      <c r="A628" t="s">
        <v>1179</v>
      </c>
      <c r="B628" t="s">
        <v>270</v>
      </c>
      <c r="C628">
        <v>78</v>
      </c>
      <c r="D628" t="s">
        <v>18</v>
      </c>
      <c r="E628" s="2">
        <v>45705</v>
      </c>
      <c r="F628" s="2">
        <v>45715</v>
      </c>
      <c r="G628" t="s">
        <v>70</v>
      </c>
      <c r="H628" t="s">
        <v>94</v>
      </c>
      <c r="I628" s="3">
        <v>22757.119999999999</v>
      </c>
      <c r="J628" t="s">
        <v>15</v>
      </c>
      <c r="K628" s="4">
        <v>0.9</v>
      </c>
      <c r="L628" s="3">
        <f t="shared" si="36"/>
        <v>20481.407999999999</v>
      </c>
      <c r="M628" s="3">
        <f t="shared" si="37"/>
        <v>2275.7119999999995</v>
      </c>
      <c r="N628">
        <f t="shared" si="38"/>
        <v>10</v>
      </c>
      <c r="O628" s="3">
        <f t="shared" si="39"/>
        <v>22757.119999999999</v>
      </c>
      <c r="P628" t="str" cm="1">
        <f t="array" ref="P628">_xlfn.IFS(C628&lt;18, "Under 18", C628&lt;36, "Btw 18&amp;35", C628&lt;51, "Btw 36&amp;50", C628&lt;66, "Btw 51&amp;65", C628&gt;=66," 66&amp;Above")</f>
        <v xml:space="preserve"> 66&amp;Above</v>
      </c>
    </row>
    <row r="629" spans="1:16">
      <c r="A629" t="s">
        <v>1180</v>
      </c>
      <c r="B629" t="s">
        <v>975</v>
      </c>
      <c r="C629">
        <v>11</v>
      </c>
      <c r="D629" t="s">
        <v>12</v>
      </c>
      <c r="E629" s="2">
        <v>45536</v>
      </c>
      <c r="F629" s="2">
        <v>45541</v>
      </c>
      <c r="G629" t="s">
        <v>49</v>
      </c>
      <c r="H629" t="s">
        <v>123</v>
      </c>
      <c r="I629" s="3">
        <v>3197.15</v>
      </c>
      <c r="J629" t="s">
        <v>25</v>
      </c>
      <c r="K629" s="4">
        <v>0.7</v>
      </c>
      <c r="L629" s="3">
        <f t="shared" si="36"/>
        <v>2238.0050000000001</v>
      </c>
      <c r="M629" s="3">
        <f t="shared" si="37"/>
        <v>959.14500000000021</v>
      </c>
      <c r="N629">
        <f t="shared" si="38"/>
        <v>5</v>
      </c>
      <c r="O629" s="3">
        <f t="shared" si="39"/>
        <v>0</v>
      </c>
      <c r="P629" t="str" cm="1">
        <f t="array" ref="P629">_xlfn.IFS(C629&lt;18, "Under 18", C629&lt;36, "Btw 18&amp;35", C629&lt;51, "Btw 36&amp;50", C629&lt;66, "Btw 51&amp;65", C629&gt;=66," 66&amp;Above")</f>
        <v>Under 18</v>
      </c>
    </row>
    <row r="630" spans="1:16">
      <c r="A630" t="s">
        <v>1181</v>
      </c>
      <c r="B630" t="s">
        <v>1182</v>
      </c>
      <c r="C630">
        <v>73</v>
      </c>
      <c r="D630" t="s">
        <v>18</v>
      </c>
      <c r="E630" s="2">
        <v>45441</v>
      </c>
      <c r="F630" s="2">
        <v>45443</v>
      </c>
      <c r="G630" t="s">
        <v>31</v>
      </c>
      <c r="H630" t="s">
        <v>32</v>
      </c>
      <c r="I630" s="3">
        <v>2710.85</v>
      </c>
      <c r="J630" t="s">
        <v>20</v>
      </c>
      <c r="K630" s="4">
        <v>0.6</v>
      </c>
      <c r="L630" s="3">
        <f t="shared" si="36"/>
        <v>1626.51</v>
      </c>
      <c r="M630" s="3">
        <f t="shared" si="37"/>
        <v>1084.3399999999999</v>
      </c>
      <c r="N630">
        <f t="shared" si="38"/>
        <v>2</v>
      </c>
      <c r="O630" s="3">
        <f t="shared" si="39"/>
        <v>0</v>
      </c>
      <c r="P630" t="str" cm="1">
        <f t="array" ref="P630">_xlfn.IFS(C630&lt;18, "Under 18", C630&lt;36, "Btw 18&amp;35", C630&lt;51, "Btw 36&amp;50", C630&lt;66, "Btw 51&amp;65", C630&gt;=66," 66&amp;Above")</f>
        <v xml:space="preserve"> 66&amp;Above</v>
      </c>
    </row>
    <row r="631" spans="1:16">
      <c r="A631" t="s">
        <v>1183</v>
      </c>
      <c r="B631" t="s">
        <v>1184</v>
      </c>
      <c r="C631">
        <v>84</v>
      </c>
      <c r="D631" t="s">
        <v>18</v>
      </c>
      <c r="E631" s="2">
        <v>45918</v>
      </c>
      <c r="F631" s="2">
        <v>45920</v>
      </c>
      <c r="G631" t="s">
        <v>23</v>
      </c>
      <c r="H631" t="s">
        <v>204</v>
      </c>
      <c r="I631" s="3">
        <v>4532.09</v>
      </c>
      <c r="J631" t="s">
        <v>20</v>
      </c>
      <c r="K631" s="4">
        <v>0.9</v>
      </c>
      <c r="L631" s="3">
        <f t="shared" si="36"/>
        <v>4078.8810000000003</v>
      </c>
      <c r="M631" s="3">
        <f t="shared" si="37"/>
        <v>453.20899999999989</v>
      </c>
      <c r="N631">
        <f t="shared" si="38"/>
        <v>2</v>
      </c>
      <c r="O631" s="3">
        <f t="shared" si="39"/>
        <v>0</v>
      </c>
      <c r="P631" t="str" cm="1">
        <f t="array" ref="P631">_xlfn.IFS(C631&lt;18, "Under 18", C631&lt;36, "Btw 18&amp;35", C631&lt;51, "Btw 36&amp;50", C631&lt;66, "Btw 51&amp;65", C631&gt;=66," 66&amp;Above")</f>
        <v xml:space="preserve"> 66&amp;Above</v>
      </c>
    </row>
    <row r="632" spans="1:16">
      <c r="A632" t="s">
        <v>1185</v>
      </c>
      <c r="B632" t="s">
        <v>1186</v>
      </c>
      <c r="C632">
        <v>43</v>
      </c>
      <c r="D632" t="s">
        <v>12</v>
      </c>
      <c r="E632" s="2">
        <v>45857</v>
      </c>
      <c r="F632" s="2">
        <v>45860</v>
      </c>
      <c r="G632" t="s">
        <v>60</v>
      </c>
      <c r="H632" t="s">
        <v>61</v>
      </c>
      <c r="I632" s="3">
        <v>4972.62</v>
      </c>
      <c r="J632" t="s">
        <v>15</v>
      </c>
      <c r="K632" s="4">
        <v>0.8</v>
      </c>
      <c r="L632" s="3">
        <f t="shared" si="36"/>
        <v>3978.096</v>
      </c>
      <c r="M632" s="3">
        <f t="shared" si="37"/>
        <v>994.52399999999977</v>
      </c>
      <c r="N632">
        <f t="shared" si="38"/>
        <v>3</v>
      </c>
      <c r="O632" s="3">
        <f t="shared" si="39"/>
        <v>4972.62</v>
      </c>
      <c r="P632" t="str" cm="1">
        <f t="array" ref="P632">_xlfn.IFS(C632&lt;18, "Under 18", C632&lt;36, "Btw 18&amp;35", C632&lt;51, "Btw 36&amp;50", C632&lt;66, "Btw 51&amp;65", C632&gt;=66," 66&amp;Above")</f>
        <v>Btw 36&amp;50</v>
      </c>
    </row>
    <row r="633" spans="1:16">
      <c r="A633" t="s">
        <v>1187</v>
      </c>
      <c r="B633" t="s">
        <v>874</v>
      </c>
      <c r="C633">
        <v>1</v>
      </c>
      <c r="D633" t="s">
        <v>12</v>
      </c>
      <c r="E633" s="2">
        <v>45609</v>
      </c>
      <c r="F633" s="2">
        <v>45611</v>
      </c>
      <c r="G633" t="s">
        <v>49</v>
      </c>
      <c r="H633" t="s">
        <v>378</v>
      </c>
      <c r="I633" s="3">
        <v>3235.05</v>
      </c>
      <c r="J633" t="s">
        <v>15</v>
      </c>
      <c r="K633" s="4">
        <v>0.7</v>
      </c>
      <c r="L633" s="3">
        <f t="shared" si="36"/>
        <v>2264.5349999999999</v>
      </c>
      <c r="M633" s="3">
        <f t="shared" si="37"/>
        <v>970.51500000000021</v>
      </c>
      <c r="N633">
        <f t="shared" si="38"/>
        <v>2</v>
      </c>
      <c r="O633" s="3">
        <f t="shared" si="39"/>
        <v>3235.05</v>
      </c>
      <c r="P633" t="str" cm="1">
        <f t="array" ref="P633">_xlfn.IFS(C633&lt;18, "Under 18", C633&lt;36, "Btw 18&amp;35", C633&lt;51, "Btw 36&amp;50", C633&lt;66, "Btw 51&amp;65", C633&gt;=66," 66&amp;Above")</f>
        <v>Under 18</v>
      </c>
    </row>
    <row r="634" spans="1:16">
      <c r="A634" t="s">
        <v>1188</v>
      </c>
      <c r="B634" t="s">
        <v>1189</v>
      </c>
      <c r="C634">
        <v>49</v>
      </c>
      <c r="D634" t="s">
        <v>18</v>
      </c>
      <c r="E634" s="2">
        <v>45937</v>
      </c>
      <c r="F634" s="2">
        <v>45939</v>
      </c>
      <c r="G634" t="s">
        <v>31</v>
      </c>
      <c r="H634" t="s">
        <v>114</v>
      </c>
      <c r="I634" s="3">
        <v>2401.17</v>
      </c>
      <c r="J634" t="s">
        <v>20</v>
      </c>
      <c r="K634" s="4">
        <v>0.9</v>
      </c>
      <c r="L634" s="3">
        <f t="shared" si="36"/>
        <v>2161.0530000000003</v>
      </c>
      <c r="M634" s="3">
        <f t="shared" si="37"/>
        <v>240.11699999999996</v>
      </c>
      <c r="N634">
        <f t="shared" si="38"/>
        <v>2</v>
      </c>
      <c r="O634" s="3">
        <f t="shared" si="39"/>
        <v>0</v>
      </c>
      <c r="P634" t="str" cm="1">
        <f t="array" ref="P634">_xlfn.IFS(C634&lt;18, "Under 18", C634&lt;36, "Btw 18&amp;35", C634&lt;51, "Btw 36&amp;50", C634&lt;66, "Btw 51&amp;65", C634&gt;=66," 66&amp;Above")</f>
        <v>Btw 36&amp;50</v>
      </c>
    </row>
    <row r="635" spans="1:16">
      <c r="A635" t="s">
        <v>1190</v>
      </c>
      <c r="B635" t="s">
        <v>1191</v>
      </c>
      <c r="C635">
        <v>51</v>
      </c>
      <c r="D635" t="s">
        <v>18</v>
      </c>
      <c r="E635" s="2">
        <v>45419</v>
      </c>
      <c r="F635" s="2">
        <v>45431</v>
      </c>
      <c r="G635" t="s">
        <v>60</v>
      </c>
      <c r="H635" t="s">
        <v>142</v>
      </c>
      <c r="I635" s="3">
        <v>33210.050000000003</v>
      </c>
      <c r="J635" t="s">
        <v>20</v>
      </c>
      <c r="K635" s="4">
        <v>0.8</v>
      </c>
      <c r="L635" s="3">
        <f t="shared" si="36"/>
        <v>26568.040000000005</v>
      </c>
      <c r="M635" s="3">
        <f t="shared" si="37"/>
        <v>6642.0099999999993</v>
      </c>
      <c r="N635">
        <f t="shared" si="38"/>
        <v>12</v>
      </c>
      <c r="O635" s="3">
        <f t="shared" si="39"/>
        <v>0</v>
      </c>
      <c r="P635" t="str" cm="1">
        <f t="array" ref="P635">_xlfn.IFS(C635&lt;18, "Under 18", C635&lt;36, "Btw 18&amp;35", C635&lt;51, "Btw 36&amp;50", C635&lt;66, "Btw 51&amp;65", C635&gt;=66," 66&amp;Above")</f>
        <v>Btw 51&amp;65</v>
      </c>
    </row>
    <row r="636" spans="1:16">
      <c r="A636" t="s">
        <v>1192</v>
      </c>
      <c r="B636" t="s">
        <v>893</v>
      </c>
      <c r="C636">
        <v>73</v>
      </c>
      <c r="D636" t="s">
        <v>18</v>
      </c>
      <c r="E636" s="2">
        <v>45643</v>
      </c>
      <c r="F636" s="2">
        <v>45653</v>
      </c>
      <c r="G636" t="s">
        <v>60</v>
      </c>
      <c r="H636" t="s">
        <v>74</v>
      </c>
      <c r="I636" s="3">
        <v>23689.65</v>
      </c>
      <c r="J636" t="s">
        <v>15</v>
      </c>
      <c r="K636" s="4">
        <v>0.9</v>
      </c>
      <c r="L636" s="3">
        <f t="shared" si="36"/>
        <v>21320.685000000001</v>
      </c>
      <c r="M636" s="3">
        <f t="shared" si="37"/>
        <v>2368.9649999999997</v>
      </c>
      <c r="N636">
        <f t="shared" si="38"/>
        <v>10</v>
      </c>
      <c r="O636" s="3">
        <f t="shared" si="39"/>
        <v>23689.65</v>
      </c>
      <c r="P636" t="str" cm="1">
        <f t="array" ref="P636">_xlfn.IFS(C636&lt;18, "Under 18", C636&lt;36, "Btw 18&amp;35", C636&lt;51, "Btw 36&amp;50", C636&lt;66, "Btw 51&amp;65", C636&gt;=66," 66&amp;Above")</f>
        <v xml:space="preserve"> 66&amp;Above</v>
      </c>
    </row>
    <row r="637" spans="1:16">
      <c r="A637" t="s">
        <v>1193</v>
      </c>
      <c r="B637" t="s">
        <v>1194</v>
      </c>
      <c r="C637">
        <v>26</v>
      </c>
      <c r="D637" t="s">
        <v>12</v>
      </c>
      <c r="E637" s="2">
        <v>45960</v>
      </c>
      <c r="F637" s="2">
        <v>45963</v>
      </c>
      <c r="G637" t="s">
        <v>31</v>
      </c>
      <c r="H637" t="s">
        <v>32</v>
      </c>
      <c r="I637" s="3">
        <v>2927.98</v>
      </c>
      <c r="J637" t="s">
        <v>15</v>
      </c>
      <c r="K637" s="4">
        <v>1</v>
      </c>
      <c r="L637" s="3">
        <f t="shared" si="36"/>
        <v>2927.98</v>
      </c>
      <c r="M637" s="3">
        <f t="shared" si="37"/>
        <v>0</v>
      </c>
      <c r="N637">
        <f t="shared" si="38"/>
        <v>3</v>
      </c>
      <c r="O637" s="3">
        <f t="shared" si="39"/>
        <v>2927.98</v>
      </c>
      <c r="P637" t="str" cm="1">
        <f t="array" ref="P637">_xlfn.IFS(C637&lt;18, "Under 18", C637&lt;36, "Btw 18&amp;35", C637&lt;51, "Btw 36&amp;50", C637&lt;66, "Btw 51&amp;65", C637&gt;=66," 66&amp;Above")</f>
        <v>Btw 18&amp;35</v>
      </c>
    </row>
    <row r="638" spans="1:16">
      <c r="A638" t="s">
        <v>1195</v>
      </c>
      <c r="B638" t="s">
        <v>1196</v>
      </c>
      <c r="C638">
        <v>58</v>
      </c>
      <c r="D638" t="s">
        <v>18</v>
      </c>
      <c r="E638" s="2">
        <v>45760</v>
      </c>
      <c r="F638" s="2">
        <v>45769</v>
      </c>
      <c r="G638" t="s">
        <v>13</v>
      </c>
      <c r="H638" t="s">
        <v>102</v>
      </c>
      <c r="I638" s="3">
        <v>10908.77</v>
      </c>
      <c r="J638" t="s">
        <v>20</v>
      </c>
      <c r="K638" s="4">
        <v>0.9</v>
      </c>
      <c r="L638" s="3">
        <f t="shared" si="36"/>
        <v>9817.893</v>
      </c>
      <c r="M638" s="3">
        <f t="shared" si="37"/>
        <v>1090.8769999999997</v>
      </c>
      <c r="N638">
        <f t="shared" si="38"/>
        <v>9</v>
      </c>
      <c r="O638" s="3">
        <f t="shared" si="39"/>
        <v>0</v>
      </c>
      <c r="P638" t="str" cm="1">
        <f t="array" ref="P638">_xlfn.IFS(C638&lt;18, "Under 18", C638&lt;36, "Btw 18&amp;35", C638&lt;51, "Btw 36&amp;50", C638&lt;66, "Btw 51&amp;65", C638&gt;=66," 66&amp;Above")</f>
        <v>Btw 51&amp;65</v>
      </c>
    </row>
    <row r="639" spans="1:16">
      <c r="A639" t="s">
        <v>1197</v>
      </c>
      <c r="B639" t="s">
        <v>1198</v>
      </c>
      <c r="C639">
        <v>65</v>
      </c>
      <c r="D639" t="s">
        <v>12</v>
      </c>
      <c r="E639" s="2">
        <v>45478</v>
      </c>
      <c r="F639" s="2">
        <v>45483</v>
      </c>
      <c r="G639" t="s">
        <v>13</v>
      </c>
      <c r="H639" t="s">
        <v>19</v>
      </c>
      <c r="I639" s="3">
        <v>9405.2000000000007</v>
      </c>
      <c r="J639" t="s">
        <v>20</v>
      </c>
      <c r="K639" s="4">
        <v>0.7</v>
      </c>
      <c r="L639" s="3">
        <f t="shared" si="36"/>
        <v>6583.64</v>
      </c>
      <c r="M639" s="3">
        <f t="shared" si="37"/>
        <v>2821.5600000000009</v>
      </c>
      <c r="N639">
        <f t="shared" si="38"/>
        <v>5</v>
      </c>
      <c r="O639" s="3">
        <f t="shared" si="39"/>
        <v>0</v>
      </c>
      <c r="P639" t="str" cm="1">
        <f t="array" ref="P639">_xlfn.IFS(C639&lt;18, "Under 18", C639&lt;36, "Btw 18&amp;35", C639&lt;51, "Btw 36&amp;50", C639&lt;66, "Btw 51&amp;65", C639&gt;=66," 66&amp;Above")</f>
        <v>Btw 51&amp;65</v>
      </c>
    </row>
    <row r="640" spans="1:16">
      <c r="A640" t="s">
        <v>1199</v>
      </c>
      <c r="B640" t="s">
        <v>783</v>
      </c>
      <c r="C640">
        <v>37</v>
      </c>
      <c r="D640" t="s">
        <v>18</v>
      </c>
      <c r="E640" s="2">
        <v>45888</v>
      </c>
      <c r="F640" s="2">
        <v>45896</v>
      </c>
      <c r="G640" t="s">
        <v>70</v>
      </c>
      <c r="H640" t="s">
        <v>71</v>
      </c>
      <c r="I640" s="3">
        <v>11960.8</v>
      </c>
      <c r="J640" t="s">
        <v>15</v>
      </c>
      <c r="K640" s="4">
        <v>0.8</v>
      </c>
      <c r="L640" s="3">
        <f t="shared" si="36"/>
        <v>9568.64</v>
      </c>
      <c r="M640" s="3">
        <f t="shared" si="37"/>
        <v>2392.1599999999994</v>
      </c>
      <c r="N640">
        <f t="shared" si="38"/>
        <v>8</v>
      </c>
      <c r="O640" s="3">
        <f t="shared" si="39"/>
        <v>11960.8</v>
      </c>
      <c r="P640" t="str" cm="1">
        <f t="array" ref="P640">_xlfn.IFS(C640&lt;18, "Under 18", C640&lt;36, "Btw 18&amp;35", C640&lt;51, "Btw 36&amp;50", C640&lt;66, "Btw 51&amp;65", C640&gt;=66," 66&amp;Above")</f>
        <v>Btw 36&amp;50</v>
      </c>
    </row>
    <row r="641" spans="1:16">
      <c r="A641" t="s">
        <v>1200</v>
      </c>
      <c r="B641" t="s">
        <v>1201</v>
      </c>
      <c r="C641">
        <v>68</v>
      </c>
      <c r="D641" t="s">
        <v>12</v>
      </c>
      <c r="E641" s="2">
        <v>45537</v>
      </c>
      <c r="F641" s="2">
        <v>45538</v>
      </c>
      <c r="G641" t="s">
        <v>31</v>
      </c>
      <c r="H641" t="s">
        <v>44</v>
      </c>
      <c r="I641" s="3">
        <v>1174.7</v>
      </c>
      <c r="J641" t="s">
        <v>20</v>
      </c>
      <c r="K641" s="4">
        <v>0.9</v>
      </c>
      <c r="L641" s="3">
        <f t="shared" si="36"/>
        <v>1057.23</v>
      </c>
      <c r="M641" s="3">
        <f t="shared" si="37"/>
        <v>117.46999999999998</v>
      </c>
      <c r="N641">
        <f t="shared" si="38"/>
        <v>1</v>
      </c>
      <c r="O641" s="3">
        <f t="shared" si="39"/>
        <v>0</v>
      </c>
      <c r="P641" t="str" cm="1">
        <f t="array" ref="P641">_xlfn.IFS(C641&lt;18, "Under 18", C641&lt;36, "Btw 18&amp;35", C641&lt;51, "Btw 36&amp;50", C641&lt;66, "Btw 51&amp;65", C641&gt;=66," 66&amp;Above")</f>
        <v xml:space="preserve"> 66&amp;Above</v>
      </c>
    </row>
    <row r="642" spans="1:16">
      <c r="A642" t="s">
        <v>1202</v>
      </c>
      <c r="B642" t="s">
        <v>1203</v>
      </c>
      <c r="C642">
        <v>41</v>
      </c>
      <c r="D642" t="s">
        <v>12</v>
      </c>
      <c r="E642" s="2">
        <v>45314</v>
      </c>
      <c r="F642" s="2">
        <v>45321</v>
      </c>
      <c r="G642" t="s">
        <v>31</v>
      </c>
      <c r="H642" t="s">
        <v>234</v>
      </c>
      <c r="I642" s="3">
        <v>6487.34</v>
      </c>
      <c r="J642" t="s">
        <v>15</v>
      </c>
      <c r="K642" s="4">
        <v>0.8</v>
      </c>
      <c r="L642" s="3">
        <f t="shared" si="36"/>
        <v>5189.8720000000003</v>
      </c>
      <c r="M642" s="3">
        <f t="shared" si="37"/>
        <v>1297.4679999999998</v>
      </c>
      <c r="N642">
        <f t="shared" si="38"/>
        <v>7</v>
      </c>
      <c r="O642" s="3">
        <f t="shared" si="39"/>
        <v>6487.34</v>
      </c>
      <c r="P642" t="str" cm="1">
        <f t="array" ref="P642">_xlfn.IFS(C642&lt;18, "Under 18", C642&lt;36, "Btw 18&amp;35", C642&lt;51, "Btw 36&amp;50", C642&lt;66, "Btw 51&amp;65", C642&gt;=66," 66&amp;Above")</f>
        <v>Btw 36&amp;50</v>
      </c>
    </row>
    <row r="643" spans="1:16">
      <c r="A643" t="s">
        <v>1204</v>
      </c>
      <c r="B643" t="s">
        <v>1101</v>
      </c>
      <c r="C643">
        <v>40</v>
      </c>
      <c r="D643" t="s">
        <v>12</v>
      </c>
      <c r="E643" s="2">
        <v>45752</v>
      </c>
      <c r="F643" s="2">
        <v>45754</v>
      </c>
      <c r="G643" t="s">
        <v>23</v>
      </c>
      <c r="H643" t="s">
        <v>333</v>
      </c>
      <c r="I643" s="3">
        <v>3282.55</v>
      </c>
      <c r="J643" t="s">
        <v>20</v>
      </c>
      <c r="K643" s="4">
        <v>0.7</v>
      </c>
      <c r="L643" s="3">
        <f t="shared" ref="L643:L706" si="40">I643*K643</f>
        <v>2297.7849999999999</v>
      </c>
      <c r="M643" s="3">
        <f t="shared" ref="M643:M706" si="41">(100%-K643)*I643</f>
        <v>984.76500000000021</v>
      </c>
      <c r="N643">
        <f t="shared" ref="N643:N706" si="42">_xlfn.DAYS(F643,E643)</f>
        <v>2</v>
      </c>
      <c r="O643" s="3">
        <f t="shared" ref="O643:O706" si="43">IF(J643="Paid", I643, 0)</f>
        <v>0</v>
      </c>
      <c r="P643" t="str" cm="1">
        <f t="array" ref="P643">_xlfn.IFS(C643&lt;18, "Under 18", C643&lt;36, "Btw 18&amp;35", C643&lt;51, "Btw 36&amp;50", C643&lt;66, "Btw 51&amp;65", C643&gt;=66," 66&amp;Above")</f>
        <v>Btw 36&amp;50</v>
      </c>
    </row>
    <row r="644" spans="1:16">
      <c r="A644" t="s">
        <v>1205</v>
      </c>
      <c r="B644" t="s">
        <v>1206</v>
      </c>
      <c r="C644">
        <v>55</v>
      </c>
      <c r="D644" t="s">
        <v>18</v>
      </c>
      <c r="E644" s="2">
        <v>45716</v>
      </c>
      <c r="F644" s="2">
        <v>45722</v>
      </c>
      <c r="G644" t="s">
        <v>60</v>
      </c>
      <c r="H644" t="s">
        <v>77</v>
      </c>
      <c r="I644" s="3">
        <v>13468.92</v>
      </c>
      <c r="J644" t="s">
        <v>15</v>
      </c>
      <c r="K644" s="4">
        <v>0.8</v>
      </c>
      <c r="L644" s="3">
        <f t="shared" si="40"/>
        <v>10775.136</v>
      </c>
      <c r="M644" s="3">
        <f t="shared" si="41"/>
        <v>2693.7839999999992</v>
      </c>
      <c r="N644">
        <f t="shared" si="42"/>
        <v>6</v>
      </c>
      <c r="O644" s="3">
        <f t="shared" si="43"/>
        <v>13468.92</v>
      </c>
      <c r="P644" t="str" cm="1">
        <f t="array" ref="P644">_xlfn.IFS(C644&lt;18, "Under 18", C644&lt;36, "Btw 18&amp;35", C644&lt;51, "Btw 36&amp;50", C644&lt;66, "Btw 51&amp;65", C644&gt;=66," 66&amp;Above")</f>
        <v>Btw 51&amp;65</v>
      </c>
    </row>
    <row r="645" spans="1:16">
      <c r="A645" t="s">
        <v>1207</v>
      </c>
      <c r="B645" t="s">
        <v>1208</v>
      </c>
      <c r="C645">
        <v>76</v>
      </c>
      <c r="D645" t="s">
        <v>12</v>
      </c>
      <c r="E645" s="2">
        <v>45868</v>
      </c>
      <c r="F645" s="2">
        <v>45873</v>
      </c>
      <c r="G645" t="s">
        <v>13</v>
      </c>
      <c r="H645" t="s">
        <v>14</v>
      </c>
      <c r="I645" s="3">
        <v>7431.19</v>
      </c>
      <c r="J645" t="s">
        <v>20</v>
      </c>
      <c r="K645" s="4">
        <v>0.8</v>
      </c>
      <c r="L645" s="3">
        <f t="shared" si="40"/>
        <v>5944.9520000000002</v>
      </c>
      <c r="M645" s="3">
        <f t="shared" si="41"/>
        <v>1486.2379999999996</v>
      </c>
      <c r="N645">
        <f t="shared" si="42"/>
        <v>5</v>
      </c>
      <c r="O645" s="3">
        <f t="shared" si="43"/>
        <v>0</v>
      </c>
      <c r="P645" t="str" cm="1">
        <f t="array" ref="P645">_xlfn.IFS(C645&lt;18, "Under 18", C645&lt;36, "Btw 18&amp;35", C645&lt;51, "Btw 36&amp;50", C645&lt;66, "Btw 51&amp;65", C645&gt;=66," 66&amp;Above")</f>
        <v xml:space="preserve"> 66&amp;Above</v>
      </c>
    </row>
    <row r="646" spans="1:16">
      <c r="A646" t="s">
        <v>1209</v>
      </c>
      <c r="B646" t="s">
        <v>1210</v>
      </c>
      <c r="C646">
        <v>77</v>
      </c>
      <c r="D646" t="s">
        <v>18</v>
      </c>
      <c r="E646" s="2">
        <v>45612</v>
      </c>
      <c r="F646" s="2">
        <v>45616</v>
      </c>
      <c r="G646" t="s">
        <v>70</v>
      </c>
      <c r="H646" t="s">
        <v>94</v>
      </c>
      <c r="I646" s="3">
        <v>4416.84</v>
      </c>
      <c r="J646" t="s">
        <v>25</v>
      </c>
      <c r="K646" s="4">
        <v>0.8</v>
      </c>
      <c r="L646" s="3">
        <f t="shared" si="40"/>
        <v>3533.4720000000002</v>
      </c>
      <c r="M646" s="3">
        <f t="shared" si="41"/>
        <v>883.36799999999982</v>
      </c>
      <c r="N646">
        <f t="shared" si="42"/>
        <v>4</v>
      </c>
      <c r="O646" s="3">
        <f t="shared" si="43"/>
        <v>0</v>
      </c>
      <c r="P646" t="str" cm="1">
        <f t="array" ref="P646">_xlfn.IFS(C646&lt;18, "Under 18", C646&lt;36, "Btw 18&amp;35", C646&lt;51, "Btw 36&amp;50", C646&lt;66, "Btw 51&amp;65", C646&gt;=66," 66&amp;Above")</f>
        <v xml:space="preserve"> 66&amp;Above</v>
      </c>
    </row>
    <row r="647" spans="1:16">
      <c r="A647" t="s">
        <v>1211</v>
      </c>
      <c r="B647" t="s">
        <v>1212</v>
      </c>
      <c r="C647">
        <v>77</v>
      </c>
      <c r="D647" t="s">
        <v>12</v>
      </c>
      <c r="E647" s="2">
        <v>45967</v>
      </c>
      <c r="F647" s="2">
        <v>45968</v>
      </c>
      <c r="G647" t="s">
        <v>23</v>
      </c>
      <c r="H647" t="s">
        <v>24</v>
      </c>
      <c r="I647" s="3">
        <v>1265.79</v>
      </c>
      <c r="J647" t="s">
        <v>20</v>
      </c>
      <c r="K647" s="4">
        <v>0.8</v>
      </c>
      <c r="L647" s="3">
        <f t="shared" si="40"/>
        <v>1012.6320000000001</v>
      </c>
      <c r="M647" s="3">
        <f t="shared" si="41"/>
        <v>253.15799999999993</v>
      </c>
      <c r="N647">
        <f t="shared" si="42"/>
        <v>1</v>
      </c>
      <c r="O647" s="3">
        <f t="shared" si="43"/>
        <v>0</v>
      </c>
      <c r="P647" t="str" cm="1">
        <f t="array" ref="P647">_xlfn.IFS(C647&lt;18, "Under 18", C647&lt;36, "Btw 18&amp;35", C647&lt;51, "Btw 36&amp;50", C647&lt;66, "Btw 51&amp;65", C647&gt;=66," 66&amp;Above")</f>
        <v xml:space="preserve"> 66&amp;Above</v>
      </c>
    </row>
    <row r="648" spans="1:16">
      <c r="A648" t="s">
        <v>1213</v>
      </c>
      <c r="B648" t="s">
        <v>870</v>
      </c>
      <c r="C648">
        <v>47</v>
      </c>
      <c r="D648" t="s">
        <v>18</v>
      </c>
      <c r="E648" s="2">
        <v>45509</v>
      </c>
      <c r="F648" s="2">
        <v>45514</v>
      </c>
      <c r="G648" t="s">
        <v>31</v>
      </c>
      <c r="H648" t="s">
        <v>114</v>
      </c>
      <c r="I648" s="3">
        <v>7496.19</v>
      </c>
      <c r="J648" t="s">
        <v>15</v>
      </c>
      <c r="K648" s="4">
        <v>0.8</v>
      </c>
      <c r="L648" s="3">
        <f t="shared" si="40"/>
        <v>5996.9520000000002</v>
      </c>
      <c r="M648" s="3">
        <f t="shared" si="41"/>
        <v>1499.2379999999996</v>
      </c>
      <c r="N648">
        <f t="shared" si="42"/>
        <v>5</v>
      </c>
      <c r="O648" s="3">
        <f t="shared" si="43"/>
        <v>7496.19</v>
      </c>
      <c r="P648" t="str" cm="1">
        <f t="array" ref="P648">_xlfn.IFS(C648&lt;18, "Under 18", C648&lt;36, "Btw 18&amp;35", C648&lt;51, "Btw 36&amp;50", C648&lt;66, "Btw 51&amp;65", C648&gt;=66," 66&amp;Above")</f>
        <v>Btw 36&amp;50</v>
      </c>
    </row>
    <row r="649" spans="1:16">
      <c r="A649" t="s">
        <v>1214</v>
      </c>
      <c r="B649" t="s">
        <v>113</v>
      </c>
      <c r="C649">
        <v>46</v>
      </c>
      <c r="D649" t="s">
        <v>18</v>
      </c>
      <c r="E649" s="2">
        <v>45381</v>
      </c>
      <c r="F649" s="2">
        <v>45385</v>
      </c>
      <c r="G649" t="s">
        <v>31</v>
      </c>
      <c r="H649" t="s">
        <v>35</v>
      </c>
      <c r="I649" s="3">
        <v>5991.42</v>
      </c>
      <c r="J649" t="s">
        <v>25</v>
      </c>
      <c r="K649" s="4">
        <v>1</v>
      </c>
      <c r="L649" s="3">
        <f t="shared" si="40"/>
        <v>5991.42</v>
      </c>
      <c r="M649" s="3">
        <f t="shared" si="41"/>
        <v>0</v>
      </c>
      <c r="N649">
        <f t="shared" si="42"/>
        <v>4</v>
      </c>
      <c r="O649" s="3">
        <f t="shared" si="43"/>
        <v>0</v>
      </c>
      <c r="P649" t="str" cm="1">
        <f t="array" ref="P649">_xlfn.IFS(C649&lt;18, "Under 18", C649&lt;36, "Btw 18&amp;35", C649&lt;51, "Btw 36&amp;50", C649&lt;66, "Btw 51&amp;65", C649&gt;=66," 66&amp;Above")</f>
        <v>Btw 36&amp;50</v>
      </c>
    </row>
    <row r="650" spans="1:16">
      <c r="A650" t="s">
        <v>1215</v>
      </c>
      <c r="B650" t="s">
        <v>1216</v>
      </c>
      <c r="C650">
        <v>62</v>
      </c>
      <c r="D650" t="s">
        <v>12</v>
      </c>
      <c r="E650" s="2">
        <v>45428</v>
      </c>
      <c r="F650" s="2">
        <v>45438</v>
      </c>
      <c r="G650" t="s">
        <v>13</v>
      </c>
      <c r="H650" t="s">
        <v>14</v>
      </c>
      <c r="I650" s="3">
        <v>12878.2</v>
      </c>
      <c r="J650" t="s">
        <v>15</v>
      </c>
      <c r="K650" s="4">
        <v>0.8</v>
      </c>
      <c r="L650" s="3">
        <f t="shared" si="40"/>
        <v>10302.560000000001</v>
      </c>
      <c r="M650" s="3">
        <f t="shared" si="41"/>
        <v>2575.6399999999994</v>
      </c>
      <c r="N650">
        <f t="shared" si="42"/>
        <v>10</v>
      </c>
      <c r="O650" s="3">
        <f t="shared" si="43"/>
        <v>12878.2</v>
      </c>
      <c r="P650" t="str" cm="1">
        <f t="array" ref="P650">_xlfn.IFS(C650&lt;18, "Under 18", C650&lt;36, "Btw 18&amp;35", C650&lt;51, "Btw 36&amp;50", C650&lt;66, "Btw 51&amp;65", C650&gt;=66," 66&amp;Above")</f>
        <v>Btw 51&amp;65</v>
      </c>
    </row>
    <row r="651" spans="1:16">
      <c r="A651" t="s">
        <v>1217</v>
      </c>
      <c r="B651" t="s">
        <v>1218</v>
      </c>
      <c r="C651">
        <v>5</v>
      </c>
      <c r="D651" t="s">
        <v>12</v>
      </c>
      <c r="E651" s="2">
        <v>46008</v>
      </c>
      <c r="F651" s="2">
        <v>46012</v>
      </c>
      <c r="G651" t="s">
        <v>49</v>
      </c>
      <c r="H651" t="s">
        <v>130</v>
      </c>
      <c r="I651" s="3">
        <v>4752.84</v>
      </c>
      <c r="J651" t="s">
        <v>15</v>
      </c>
      <c r="K651" s="4">
        <v>0.8</v>
      </c>
      <c r="L651" s="3">
        <f t="shared" si="40"/>
        <v>3802.2720000000004</v>
      </c>
      <c r="M651" s="3">
        <f t="shared" si="41"/>
        <v>950.56799999999987</v>
      </c>
      <c r="N651">
        <f t="shared" si="42"/>
        <v>4</v>
      </c>
      <c r="O651" s="3">
        <f t="shared" si="43"/>
        <v>4752.84</v>
      </c>
      <c r="P651" t="str" cm="1">
        <f t="array" ref="P651">_xlfn.IFS(C651&lt;18, "Under 18", C651&lt;36, "Btw 18&amp;35", C651&lt;51, "Btw 36&amp;50", C651&lt;66, "Btw 51&amp;65", C651&gt;=66," 66&amp;Above")</f>
        <v>Under 18</v>
      </c>
    </row>
    <row r="652" spans="1:16">
      <c r="A652" t="s">
        <v>1219</v>
      </c>
      <c r="B652" t="s">
        <v>1220</v>
      </c>
      <c r="C652">
        <v>34</v>
      </c>
      <c r="D652" t="s">
        <v>12</v>
      </c>
      <c r="E652" s="2">
        <v>45435</v>
      </c>
      <c r="F652" s="2">
        <v>45436</v>
      </c>
      <c r="G652" t="s">
        <v>31</v>
      </c>
      <c r="H652" t="s">
        <v>53</v>
      </c>
      <c r="I652" s="3">
        <v>1394.75</v>
      </c>
      <c r="J652" t="s">
        <v>20</v>
      </c>
      <c r="K652" s="4">
        <v>0</v>
      </c>
      <c r="L652" s="3">
        <f t="shared" si="40"/>
        <v>0</v>
      </c>
      <c r="M652" s="3">
        <f t="shared" si="41"/>
        <v>1394.75</v>
      </c>
      <c r="N652">
        <f t="shared" si="42"/>
        <v>1</v>
      </c>
      <c r="O652" s="3">
        <f t="shared" si="43"/>
        <v>0</v>
      </c>
      <c r="P652" t="str" cm="1">
        <f t="array" ref="P652">_xlfn.IFS(C652&lt;18, "Under 18", C652&lt;36, "Btw 18&amp;35", C652&lt;51, "Btw 36&amp;50", C652&lt;66, "Btw 51&amp;65", C652&gt;=66," 66&amp;Above")</f>
        <v>Btw 18&amp;35</v>
      </c>
    </row>
    <row r="653" spans="1:16">
      <c r="A653" t="s">
        <v>1221</v>
      </c>
      <c r="B653" t="s">
        <v>1222</v>
      </c>
      <c r="C653">
        <v>59</v>
      </c>
      <c r="D653" t="s">
        <v>12</v>
      </c>
      <c r="E653" s="2">
        <v>45525</v>
      </c>
      <c r="F653" s="2">
        <v>45527</v>
      </c>
      <c r="G653" t="s">
        <v>23</v>
      </c>
      <c r="H653" t="s">
        <v>28</v>
      </c>
      <c r="I653" s="3">
        <v>3366.33</v>
      </c>
      <c r="J653" t="s">
        <v>20</v>
      </c>
      <c r="K653" s="4">
        <v>0.7</v>
      </c>
      <c r="L653" s="3">
        <f t="shared" si="40"/>
        <v>2356.4309999999996</v>
      </c>
      <c r="M653" s="3">
        <f t="shared" si="41"/>
        <v>1009.8990000000001</v>
      </c>
      <c r="N653">
        <f t="shared" si="42"/>
        <v>2</v>
      </c>
      <c r="O653" s="3">
        <f t="shared" si="43"/>
        <v>0</v>
      </c>
      <c r="P653" t="str" cm="1">
        <f t="array" ref="P653">_xlfn.IFS(C653&lt;18, "Under 18", C653&lt;36, "Btw 18&amp;35", C653&lt;51, "Btw 36&amp;50", C653&lt;66, "Btw 51&amp;65", C653&gt;=66," 66&amp;Above")</f>
        <v>Btw 51&amp;65</v>
      </c>
    </row>
    <row r="654" spans="1:16">
      <c r="A654" t="s">
        <v>1223</v>
      </c>
      <c r="B654" t="s">
        <v>236</v>
      </c>
      <c r="C654">
        <v>65</v>
      </c>
      <c r="D654" t="s">
        <v>18</v>
      </c>
      <c r="E654" s="2">
        <v>45589</v>
      </c>
      <c r="F654" s="2">
        <v>45595</v>
      </c>
      <c r="G654" t="s">
        <v>13</v>
      </c>
      <c r="H654" t="s">
        <v>19</v>
      </c>
      <c r="I654" s="3">
        <v>9890.23</v>
      </c>
      <c r="J654" t="s">
        <v>15</v>
      </c>
      <c r="K654" s="4">
        <v>0.8</v>
      </c>
      <c r="L654" s="3">
        <f t="shared" si="40"/>
        <v>7912.1840000000002</v>
      </c>
      <c r="M654" s="3">
        <f t="shared" si="41"/>
        <v>1978.0459999999994</v>
      </c>
      <c r="N654">
        <f t="shared" si="42"/>
        <v>6</v>
      </c>
      <c r="O654" s="3">
        <f t="shared" si="43"/>
        <v>9890.23</v>
      </c>
      <c r="P654" t="str" cm="1">
        <f t="array" ref="P654">_xlfn.IFS(C654&lt;18, "Under 18", C654&lt;36, "Btw 18&amp;35", C654&lt;51, "Btw 36&amp;50", C654&lt;66, "Btw 51&amp;65", C654&gt;=66," 66&amp;Above")</f>
        <v>Btw 51&amp;65</v>
      </c>
    </row>
    <row r="655" spans="1:16">
      <c r="A655" t="s">
        <v>1224</v>
      </c>
      <c r="B655" t="s">
        <v>141</v>
      </c>
      <c r="C655">
        <v>44</v>
      </c>
      <c r="D655" t="s">
        <v>12</v>
      </c>
      <c r="E655" s="2">
        <v>45379</v>
      </c>
      <c r="F655" s="2">
        <v>45383</v>
      </c>
      <c r="G655" t="s">
        <v>13</v>
      </c>
      <c r="H655" t="s">
        <v>14</v>
      </c>
      <c r="I655" s="3">
        <v>10351.120000000001</v>
      </c>
      <c r="J655" t="s">
        <v>20</v>
      </c>
      <c r="K655" s="4">
        <v>0.8</v>
      </c>
      <c r="L655" s="3">
        <f t="shared" si="40"/>
        <v>8280.8960000000006</v>
      </c>
      <c r="M655" s="3">
        <f t="shared" si="41"/>
        <v>2070.2239999999997</v>
      </c>
      <c r="N655">
        <f t="shared" si="42"/>
        <v>4</v>
      </c>
      <c r="O655" s="3">
        <f t="shared" si="43"/>
        <v>0</v>
      </c>
      <c r="P655" t="str" cm="1">
        <f t="array" ref="P655">_xlfn.IFS(C655&lt;18, "Under 18", C655&lt;36, "Btw 18&amp;35", C655&lt;51, "Btw 36&amp;50", C655&lt;66, "Btw 51&amp;65", C655&gt;=66," 66&amp;Above")</f>
        <v>Btw 36&amp;50</v>
      </c>
    </row>
    <row r="656" spans="1:16">
      <c r="A656" t="s">
        <v>1225</v>
      </c>
      <c r="B656" t="s">
        <v>1218</v>
      </c>
      <c r="C656">
        <v>17</v>
      </c>
      <c r="D656" t="s">
        <v>12</v>
      </c>
      <c r="E656" s="2">
        <v>45955</v>
      </c>
      <c r="F656" s="2">
        <v>45956</v>
      </c>
      <c r="G656" t="s">
        <v>49</v>
      </c>
      <c r="H656" t="s">
        <v>50</v>
      </c>
      <c r="I656" s="3">
        <v>836.96</v>
      </c>
      <c r="J656" t="s">
        <v>15</v>
      </c>
      <c r="K656" s="4">
        <v>0.7</v>
      </c>
      <c r="L656" s="3">
        <f t="shared" si="40"/>
        <v>585.87199999999996</v>
      </c>
      <c r="M656" s="3">
        <f t="shared" si="41"/>
        <v>251.08800000000005</v>
      </c>
      <c r="N656">
        <f t="shared" si="42"/>
        <v>1</v>
      </c>
      <c r="O656" s="3">
        <f t="shared" si="43"/>
        <v>836.96</v>
      </c>
      <c r="P656" t="str" cm="1">
        <f t="array" ref="P656">_xlfn.IFS(C656&lt;18, "Under 18", C656&lt;36, "Btw 18&amp;35", C656&lt;51, "Btw 36&amp;50", C656&lt;66, "Btw 51&amp;65", C656&gt;=66," 66&amp;Above")</f>
        <v>Under 18</v>
      </c>
    </row>
    <row r="657" spans="1:16">
      <c r="A657" t="s">
        <v>1226</v>
      </c>
      <c r="B657" t="s">
        <v>1227</v>
      </c>
      <c r="C657">
        <v>16</v>
      </c>
      <c r="D657" t="s">
        <v>18</v>
      </c>
      <c r="E657" s="2">
        <v>45496</v>
      </c>
      <c r="F657" s="2">
        <v>45501</v>
      </c>
      <c r="G657" t="s">
        <v>49</v>
      </c>
      <c r="H657" t="s">
        <v>117</v>
      </c>
      <c r="I657" s="3">
        <v>6886.9</v>
      </c>
      <c r="J657" t="s">
        <v>20</v>
      </c>
      <c r="K657" s="4">
        <v>0.5</v>
      </c>
      <c r="L657" s="3">
        <f t="shared" si="40"/>
        <v>3443.45</v>
      </c>
      <c r="M657" s="3">
        <f t="shared" si="41"/>
        <v>3443.45</v>
      </c>
      <c r="N657">
        <f t="shared" si="42"/>
        <v>5</v>
      </c>
      <c r="O657" s="3">
        <f t="shared" si="43"/>
        <v>0</v>
      </c>
      <c r="P657" t="str" cm="1">
        <f t="array" ref="P657">_xlfn.IFS(C657&lt;18, "Under 18", C657&lt;36, "Btw 18&amp;35", C657&lt;51, "Btw 36&amp;50", C657&lt;66, "Btw 51&amp;65", C657&gt;=66," 66&amp;Above")</f>
        <v>Under 18</v>
      </c>
    </row>
    <row r="658" spans="1:16">
      <c r="A658" t="s">
        <v>1228</v>
      </c>
      <c r="B658" t="s">
        <v>288</v>
      </c>
      <c r="C658">
        <v>3</v>
      </c>
      <c r="D658" t="s">
        <v>12</v>
      </c>
      <c r="E658" s="2">
        <v>45388</v>
      </c>
      <c r="F658" s="2">
        <v>45393</v>
      </c>
      <c r="G658" t="s">
        <v>49</v>
      </c>
      <c r="H658" t="s">
        <v>123</v>
      </c>
      <c r="I658" s="3">
        <v>7993.91</v>
      </c>
      <c r="J658" t="s">
        <v>25</v>
      </c>
      <c r="K658" s="4">
        <v>0.9</v>
      </c>
      <c r="L658" s="3">
        <f t="shared" si="40"/>
        <v>7194.5190000000002</v>
      </c>
      <c r="M658" s="3">
        <f t="shared" si="41"/>
        <v>799.39099999999985</v>
      </c>
      <c r="N658">
        <f t="shared" si="42"/>
        <v>5</v>
      </c>
      <c r="O658" s="3">
        <f t="shared" si="43"/>
        <v>0</v>
      </c>
      <c r="P658" t="str" cm="1">
        <f t="array" ref="P658">_xlfn.IFS(C658&lt;18, "Under 18", C658&lt;36, "Btw 18&amp;35", C658&lt;51, "Btw 36&amp;50", C658&lt;66, "Btw 51&amp;65", C658&gt;=66," 66&amp;Above")</f>
        <v>Under 18</v>
      </c>
    </row>
    <row r="659" spans="1:16">
      <c r="A659" t="s">
        <v>1229</v>
      </c>
      <c r="B659" t="s">
        <v>890</v>
      </c>
      <c r="C659">
        <v>79</v>
      </c>
      <c r="D659" t="s">
        <v>12</v>
      </c>
      <c r="E659" s="2">
        <v>45926</v>
      </c>
      <c r="F659" s="2">
        <v>45933</v>
      </c>
      <c r="G659" t="s">
        <v>31</v>
      </c>
      <c r="H659" t="s">
        <v>53</v>
      </c>
      <c r="I659" s="3">
        <v>9475.6200000000008</v>
      </c>
      <c r="J659" t="s">
        <v>15</v>
      </c>
      <c r="K659" s="4">
        <v>0.9</v>
      </c>
      <c r="L659" s="3">
        <f t="shared" si="40"/>
        <v>8528.0580000000009</v>
      </c>
      <c r="M659" s="3">
        <f t="shared" si="41"/>
        <v>947.5619999999999</v>
      </c>
      <c r="N659">
        <f t="shared" si="42"/>
        <v>7</v>
      </c>
      <c r="O659" s="3">
        <f t="shared" si="43"/>
        <v>9475.6200000000008</v>
      </c>
      <c r="P659" t="str" cm="1">
        <f t="array" ref="P659">_xlfn.IFS(C659&lt;18, "Under 18", C659&lt;36, "Btw 18&amp;35", C659&lt;51, "Btw 36&amp;50", C659&lt;66, "Btw 51&amp;65", C659&gt;=66," 66&amp;Above")</f>
        <v xml:space="preserve"> 66&amp;Above</v>
      </c>
    </row>
    <row r="660" spans="1:16">
      <c r="A660" t="s">
        <v>1230</v>
      </c>
      <c r="B660" t="s">
        <v>1011</v>
      </c>
      <c r="C660">
        <v>10</v>
      </c>
      <c r="D660" t="s">
        <v>12</v>
      </c>
      <c r="E660" s="2">
        <v>45975</v>
      </c>
      <c r="F660" s="2">
        <v>45980</v>
      </c>
      <c r="G660" t="s">
        <v>49</v>
      </c>
      <c r="H660" t="s">
        <v>117</v>
      </c>
      <c r="I660" s="3">
        <v>8509.42</v>
      </c>
      <c r="J660" t="s">
        <v>15</v>
      </c>
      <c r="K660" s="4">
        <v>0</v>
      </c>
      <c r="L660" s="3">
        <f t="shared" si="40"/>
        <v>0</v>
      </c>
      <c r="M660" s="3">
        <f t="shared" si="41"/>
        <v>8509.42</v>
      </c>
      <c r="N660">
        <f t="shared" si="42"/>
        <v>5</v>
      </c>
      <c r="O660" s="3">
        <f t="shared" si="43"/>
        <v>8509.42</v>
      </c>
      <c r="P660" t="str" cm="1">
        <f t="array" ref="P660">_xlfn.IFS(C660&lt;18, "Under 18", C660&lt;36, "Btw 18&amp;35", C660&lt;51, "Btw 36&amp;50", C660&lt;66, "Btw 51&amp;65", C660&gt;=66," 66&amp;Above")</f>
        <v>Under 18</v>
      </c>
    </row>
    <row r="661" spans="1:16">
      <c r="A661" t="s">
        <v>1231</v>
      </c>
      <c r="B661" t="s">
        <v>1232</v>
      </c>
      <c r="C661">
        <v>50</v>
      </c>
      <c r="D661" t="s">
        <v>12</v>
      </c>
      <c r="E661" s="2">
        <v>45635</v>
      </c>
      <c r="F661" s="2">
        <v>45643</v>
      </c>
      <c r="G661" t="s">
        <v>60</v>
      </c>
      <c r="H661" t="s">
        <v>77</v>
      </c>
      <c r="I661" s="3">
        <v>20107.36</v>
      </c>
      <c r="J661" t="s">
        <v>15</v>
      </c>
      <c r="K661" s="4">
        <v>0.7</v>
      </c>
      <c r="L661" s="3">
        <f t="shared" si="40"/>
        <v>14075.152</v>
      </c>
      <c r="M661" s="3">
        <f t="shared" si="41"/>
        <v>6032.2080000000014</v>
      </c>
      <c r="N661">
        <f t="shared" si="42"/>
        <v>8</v>
      </c>
      <c r="O661" s="3">
        <f t="shared" si="43"/>
        <v>20107.36</v>
      </c>
      <c r="P661" t="str" cm="1">
        <f t="array" ref="P661">_xlfn.IFS(C661&lt;18, "Under 18", C661&lt;36, "Btw 18&amp;35", C661&lt;51, "Btw 36&amp;50", C661&lt;66, "Btw 51&amp;65", C661&gt;=66," 66&amp;Above")</f>
        <v>Btw 36&amp;50</v>
      </c>
    </row>
    <row r="662" spans="1:16">
      <c r="A662" t="s">
        <v>1233</v>
      </c>
      <c r="B662" t="s">
        <v>1234</v>
      </c>
      <c r="C662">
        <v>29</v>
      </c>
      <c r="D662" t="s">
        <v>12</v>
      </c>
      <c r="E662" s="2">
        <v>45491</v>
      </c>
      <c r="F662" s="2">
        <v>45501</v>
      </c>
      <c r="G662" t="s">
        <v>60</v>
      </c>
      <c r="H662" t="s">
        <v>97</v>
      </c>
      <c r="I662" s="3">
        <v>26732.79</v>
      </c>
      <c r="J662" t="s">
        <v>15</v>
      </c>
      <c r="K662" s="4">
        <v>0.8</v>
      </c>
      <c r="L662" s="3">
        <f t="shared" si="40"/>
        <v>21386.232000000004</v>
      </c>
      <c r="M662" s="3">
        <f t="shared" si="41"/>
        <v>5346.5579999999991</v>
      </c>
      <c r="N662">
        <f t="shared" si="42"/>
        <v>10</v>
      </c>
      <c r="O662" s="3">
        <f t="shared" si="43"/>
        <v>26732.79</v>
      </c>
      <c r="P662" t="str" cm="1">
        <f t="array" ref="P662">_xlfn.IFS(C662&lt;18, "Under 18", C662&lt;36, "Btw 18&amp;35", C662&lt;51, "Btw 36&amp;50", C662&lt;66, "Btw 51&amp;65", C662&gt;=66," 66&amp;Above")</f>
        <v>Btw 18&amp;35</v>
      </c>
    </row>
    <row r="663" spans="1:16">
      <c r="A663" t="s">
        <v>1235</v>
      </c>
      <c r="B663" t="s">
        <v>1236</v>
      </c>
      <c r="C663">
        <v>27</v>
      </c>
      <c r="D663" t="s">
        <v>12</v>
      </c>
      <c r="E663" s="2">
        <v>45868</v>
      </c>
      <c r="F663" s="2">
        <v>45869</v>
      </c>
      <c r="G663" t="s">
        <v>23</v>
      </c>
      <c r="H663" t="s">
        <v>41</v>
      </c>
      <c r="I663" s="3">
        <v>2285.5</v>
      </c>
      <c r="J663" t="s">
        <v>15</v>
      </c>
      <c r="K663" s="4">
        <v>0.5</v>
      </c>
      <c r="L663" s="3">
        <f t="shared" si="40"/>
        <v>1142.75</v>
      </c>
      <c r="M663" s="3">
        <f t="shared" si="41"/>
        <v>1142.75</v>
      </c>
      <c r="N663">
        <f t="shared" si="42"/>
        <v>1</v>
      </c>
      <c r="O663" s="3">
        <f t="shared" si="43"/>
        <v>2285.5</v>
      </c>
      <c r="P663" t="str" cm="1">
        <f t="array" ref="P663">_xlfn.IFS(C663&lt;18, "Under 18", C663&lt;36, "Btw 18&amp;35", C663&lt;51, "Btw 36&amp;50", C663&lt;66, "Btw 51&amp;65", C663&gt;=66," 66&amp;Above")</f>
        <v>Btw 18&amp;35</v>
      </c>
    </row>
    <row r="664" spans="1:16">
      <c r="A664" t="s">
        <v>1237</v>
      </c>
      <c r="B664" t="s">
        <v>1238</v>
      </c>
      <c r="C664">
        <v>11</v>
      </c>
      <c r="D664" t="s">
        <v>18</v>
      </c>
      <c r="E664" s="2">
        <v>45418</v>
      </c>
      <c r="F664" s="2">
        <v>45422</v>
      </c>
      <c r="G664" t="s">
        <v>49</v>
      </c>
      <c r="H664" t="s">
        <v>50</v>
      </c>
      <c r="I664" s="3">
        <v>3830.25</v>
      </c>
      <c r="J664" t="s">
        <v>20</v>
      </c>
      <c r="K664" s="4">
        <v>0.9</v>
      </c>
      <c r="L664" s="3">
        <f t="shared" si="40"/>
        <v>3447.2249999999999</v>
      </c>
      <c r="M664" s="3">
        <f t="shared" si="41"/>
        <v>383.02499999999992</v>
      </c>
      <c r="N664">
        <f t="shared" si="42"/>
        <v>4</v>
      </c>
      <c r="O664" s="3">
        <f t="shared" si="43"/>
        <v>0</v>
      </c>
      <c r="P664" t="str" cm="1">
        <f t="array" ref="P664">_xlfn.IFS(C664&lt;18, "Under 18", C664&lt;36, "Btw 18&amp;35", C664&lt;51, "Btw 36&amp;50", C664&lt;66, "Btw 51&amp;65", C664&gt;=66," 66&amp;Above")</f>
        <v>Under 18</v>
      </c>
    </row>
    <row r="665" spans="1:16">
      <c r="A665" t="s">
        <v>1239</v>
      </c>
      <c r="B665" t="s">
        <v>1240</v>
      </c>
      <c r="C665">
        <v>17</v>
      </c>
      <c r="D665" t="s">
        <v>18</v>
      </c>
      <c r="E665" s="2">
        <v>45438</v>
      </c>
      <c r="F665" s="2">
        <v>45443</v>
      </c>
      <c r="G665" t="s">
        <v>49</v>
      </c>
      <c r="H665" t="s">
        <v>123</v>
      </c>
      <c r="I665" s="3">
        <v>3322.2</v>
      </c>
      <c r="J665" t="s">
        <v>15</v>
      </c>
      <c r="K665" s="4">
        <v>0.6</v>
      </c>
      <c r="L665" s="3">
        <f t="shared" si="40"/>
        <v>1993.3199999999997</v>
      </c>
      <c r="M665" s="3">
        <f t="shared" si="41"/>
        <v>1328.88</v>
      </c>
      <c r="N665">
        <f t="shared" si="42"/>
        <v>5</v>
      </c>
      <c r="O665" s="3">
        <f t="shared" si="43"/>
        <v>3322.2</v>
      </c>
      <c r="P665" t="str" cm="1">
        <f t="array" ref="P665">_xlfn.IFS(C665&lt;18, "Under 18", C665&lt;36, "Btw 18&amp;35", C665&lt;51, "Btw 36&amp;50", C665&lt;66, "Btw 51&amp;65", C665&gt;=66," 66&amp;Above")</f>
        <v>Under 18</v>
      </c>
    </row>
    <row r="666" spans="1:16">
      <c r="A666" t="s">
        <v>1241</v>
      </c>
      <c r="B666" t="s">
        <v>1242</v>
      </c>
      <c r="C666">
        <v>42</v>
      </c>
      <c r="D666" t="s">
        <v>18</v>
      </c>
      <c r="E666" s="2">
        <v>45585</v>
      </c>
      <c r="F666" s="2">
        <v>45593</v>
      </c>
      <c r="G666" t="s">
        <v>13</v>
      </c>
      <c r="H666" t="s">
        <v>38</v>
      </c>
      <c r="I666" s="3">
        <v>16467.43</v>
      </c>
      <c r="J666" t="s">
        <v>15</v>
      </c>
      <c r="K666" s="4">
        <v>0.7</v>
      </c>
      <c r="L666" s="3">
        <f t="shared" si="40"/>
        <v>11527.200999999999</v>
      </c>
      <c r="M666" s="3">
        <f t="shared" si="41"/>
        <v>4940.2290000000012</v>
      </c>
      <c r="N666">
        <f t="shared" si="42"/>
        <v>8</v>
      </c>
      <c r="O666" s="3">
        <f t="shared" si="43"/>
        <v>16467.43</v>
      </c>
      <c r="P666" t="str" cm="1">
        <f t="array" ref="P666">_xlfn.IFS(C666&lt;18, "Under 18", C666&lt;36, "Btw 18&amp;35", C666&lt;51, "Btw 36&amp;50", C666&lt;66, "Btw 51&amp;65", C666&gt;=66," 66&amp;Above")</f>
        <v>Btw 36&amp;50</v>
      </c>
    </row>
    <row r="667" spans="1:16">
      <c r="A667" t="s">
        <v>1243</v>
      </c>
      <c r="B667" t="s">
        <v>79</v>
      </c>
      <c r="C667">
        <v>57</v>
      </c>
      <c r="D667" t="s">
        <v>18</v>
      </c>
      <c r="E667" s="2">
        <v>45477</v>
      </c>
      <c r="F667" s="2">
        <v>45482</v>
      </c>
      <c r="G667" t="s">
        <v>60</v>
      </c>
      <c r="H667" t="s">
        <v>133</v>
      </c>
      <c r="I667" s="3">
        <v>11600.46</v>
      </c>
      <c r="J667" t="s">
        <v>15</v>
      </c>
      <c r="K667" s="4">
        <v>1</v>
      </c>
      <c r="L667" s="3">
        <f t="shared" si="40"/>
        <v>11600.46</v>
      </c>
      <c r="M667" s="3">
        <f t="shared" si="41"/>
        <v>0</v>
      </c>
      <c r="N667">
        <f t="shared" si="42"/>
        <v>5</v>
      </c>
      <c r="O667" s="3">
        <f t="shared" si="43"/>
        <v>11600.46</v>
      </c>
      <c r="P667" t="str" cm="1">
        <f t="array" ref="P667">_xlfn.IFS(C667&lt;18, "Under 18", C667&lt;36, "Btw 18&amp;35", C667&lt;51, "Btw 36&amp;50", C667&lt;66, "Btw 51&amp;65", C667&gt;=66," 66&amp;Above")</f>
        <v>Btw 51&amp;65</v>
      </c>
    </row>
    <row r="668" spans="1:16">
      <c r="A668" t="s">
        <v>1244</v>
      </c>
      <c r="B668" t="s">
        <v>1245</v>
      </c>
      <c r="C668">
        <v>64</v>
      </c>
      <c r="D668" t="s">
        <v>12</v>
      </c>
      <c r="E668" s="2">
        <v>45334</v>
      </c>
      <c r="F668" s="2">
        <v>45344</v>
      </c>
      <c r="G668" t="s">
        <v>70</v>
      </c>
      <c r="H668" t="s">
        <v>157</v>
      </c>
      <c r="I668" s="3">
        <v>15327.29</v>
      </c>
      <c r="J668" t="s">
        <v>15</v>
      </c>
      <c r="K668" s="4">
        <v>0.8</v>
      </c>
      <c r="L668" s="3">
        <f t="shared" si="40"/>
        <v>12261.832000000002</v>
      </c>
      <c r="M668" s="3">
        <f t="shared" si="41"/>
        <v>3065.4579999999996</v>
      </c>
      <c r="N668">
        <f t="shared" si="42"/>
        <v>10</v>
      </c>
      <c r="O668" s="3">
        <f t="shared" si="43"/>
        <v>15327.29</v>
      </c>
      <c r="P668" t="str" cm="1">
        <f t="array" ref="P668">_xlfn.IFS(C668&lt;18, "Under 18", C668&lt;36, "Btw 18&amp;35", C668&lt;51, "Btw 36&amp;50", C668&lt;66, "Btw 51&amp;65", C668&gt;=66," 66&amp;Above")</f>
        <v>Btw 51&amp;65</v>
      </c>
    </row>
    <row r="669" spans="1:16">
      <c r="A669" t="s">
        <v>1246</v>
      </c>
      <c r="B669" t="s">
        <v>177</v>
      </c>
      <c r="C669">
        <v>47</v>
      </c>
      <c r="D669" t="s">
        <v>12</v>
      </c>
      <c r="E669" s="2">
        <v>45649</v>
      </c>
      <c r="F669" s="2">
        <v>45656</v>
      </c>
      <c r="G669" t="s">
        <v>31</v>
      </c>
      <c r="H669" t="s">
        <v>53</v>
      </c>
      <c r="I669" s="3">
        <v>6289.07</v>
      </c>
      <c r="J669" t="s">
        <v>20</v>
      </c>
      <c r="K669" s="4">
        <v>1</v>
      </c>
      <c r="L669" s="3">
        <f t="shared" si="40"/>
        <v>6289.07</v>
      </c>
      <c r="M669" s="3">
        <f t="shared" si="41"/>
        <v>0</v>
      </c>
      <c r="N669">
        <f t="shared" si="42"/>
        <v>7</v>
      </c>
      <c r="O669" s="3">
        <f t="shared" si="43"/>
        <v>0</v>
      </c>
      <c r="P669" t="str" cm="1">
        <f t="array" ref="P669">_xlfn.IFS(C669&lt;18, "Under 18", C669&lt;36, "Btw 18&amp;35", C669&lt;51, "Btw 36&amp;50", C669&lt;66, "Btw 51&amp;65", C669&gt;=66," 66&amp;Above")</f>
        <v>Btw 36&amp;50</v>
      </c>
    </row>
    <row r="670" spans="1:16">
      <c r="A670" t="s">
        <v>1247</v>
      </c>
      <c r="B670" t="s">
        <v>1248</v>
      </c>
      <c r="C670">
        <v>45</v>
      </c>
      <c r="D670" t="s">
        <v>18</v>
      </c>
      <c r="E670" s="2">
        <v>45661</v>
      </c>
      <c r="F670" s="2">
        <v>45664</v>
      </c>
      <c r="G670" t="s">
        <v>70</v>
      </c>
      <c r="H670" t="s">
        <v>295</v>
      </c>
      <c r="I670" s="3">
        <v>4517.8599999999997</v>
      </c>
      <c r="J670" t="s">
        <v>20</v>
      </c>
      <c r="K670" s="4">
        <v>0.8</v>
      </c>
      <c r="L670" s="3">
        <f t="shared" si="40"/>
        <v>3614.288</v>
      </c>
      <c r="M670" s="3">
        <f t="shared" si="41"/>
        <v>903.57199999999978</v>
      </c>
      <c r="N670">
        <f t="shared" si="42"/>
        <v>3</v>
      </c>
      <c r="O670" s="3">
        <f t="shared" si="43"/>
        <v>0</v>
      </c>
      <c r="P670" t="str" cm="1">
        <f t="array" ref="P670">_xlfn.IFS(C670&lt;18, "Under 18", C670&lt;36, "Btw 18&amp;35", C670&lt;51, "Btw 36&amp;50", C670&lt;66, "Btw 51&amp;65", C670&gt;=66," 66&amp;Above")</f>
        <v>Btw 36&amp;50</v>
      </c>
    </row>
    <row r="671" spans="1:16">
      <c r="A671" t="s">
        <v>1249</v>
      </c>
      <c r="B671" t="s">
        <v>932</v>
      </c>
      <c r="C671">
        <v>13</v>
      </c>
      <c r="D671" t="s">
        <v>18</v>
      </c>
      <c r="E671" s="2">
        <v>45493</v>
      </c>
      <c r="F671" s="2">
        <v>45495</v>
      </c>
      <c r="G671" t="s">
        <v>49</v>
      </c>
      <c r="H671" t="s">
        <v>120</v>
      </c>
      <c r="I671" s="3">
        <v>3226.45</v>
      </c>
      <c r="J671" t="s">
        <v>15</v>
      </c>
      <c r="K671" s="4">
        <v>0.9</v>
      </c>
      <c r="L671" s="3">
        <f t="shared" si="40"/>
        <v>2903.8049999999998</v>
      </c>
      <c r="M671" s="3">
        <f t="shared" si="41"/>
        <v>322.64499999999992</v>
      </c>
      <c r="N671">
        <f t="shared" si="42"/>
        <v>2</v>
      </c>
      <c r="O671" s="3">
        <f t="shared" si="43"/>
        <v>3226.45</v>
      </c>
      <c r="P671" t="str" cm="1">
        <f t="array" ref="P671">_xlfn.IFS(C671&lt;18, "Under 18", C671&lt;36, "Btw 18&amp;35", C671&lt;51, "Btw 36&amp;50", C671&lt;66, "Btw 51&amp;65", C671&gt;=66," 66&amp;Above")</f>
        <v>Under 18</v>
      </c>
    </row>
    <row r="672" spans="1:16">
      <c r="A672" t="s">
        <v>1250</v>
      </c>
      <c r="B672" t="s">
        <v>139</v>
      </c>
      <c r="C672">
        <v>2</v>
      </c>
      <c r="D672" t="s">
        <v>18</v>
      </c>
      <c r="E672" s="2">
        <v>45369</v>
      </c>
      <c r="F672" s="2">
        <v>45371</v>
      </c>
      <c r="G672" t="s">
        <v>49</v>
      </c>
      <c r="H672" t="s">
        <v>378</v>
      </c>
      <c r="I672" s="3">
        <v>1704.46</v>
      </c>
      <c r="J672" t="s">
        <v>20</v>
      </c>
      <c r="K672" s="4">
        <v>0.6</v>
      </c>
      <c r="L672" s="3">
        <f t="shared" si="40"/>
        <v>1022.6759999999999</v>
      </c>
      <c r="M672" s="3">
        <f t="shared" si="41"/>
        <v>681.78400000000011</v>
      </c>
      <c r="N672">
        <f t="shared" si="42"/>
        <v>2</v>
      </c>
      <c r="O672" s="3">
        <f t="shared" si="43"/>
        <v>0</v>
      </c>
      <c r="P672" t="str" cm="1">
        <f t="array" ref="P672">_xlfn.IFS(C672&lt;18, "Under 18", C672&lt;36, "Btw 18&amp;35", C672&lt;51, "Btw 36&amp;50", C672&lt;66, "Btw 51&amp;65", C672&gt;=66," 66&amp;Above")</f>
        <v>Under 18</v>
      </c>
    </row>
    <row r="673" spans="1:16">
      <c r="A673" t="s">
        <v>1251</v>
      </c>
      <c r="B673" t="s">
        <v>1024</v>
      </c>
      <c r="C673">
        <v>55</v>
      </c>
      <c r="D673" t="s">
        <v>12</v>
      </c>
      <c r="E673" s="2">
        <v>45855</v>
      </c>
      <c r="F673" s="2">
        <v>45856</v>
      </c>
      <c r="G673" t="s">
        <v>31</v>
      </c>
      <c r="H673" t="s">
        <v>87</v>
      </c>
      <c r="I673" s="3">
        <v>921.05</v>
      </c>
      <c r="J673" t="s">
        <v>25</v>
      </c>
      <c r="K673" s="4">
        <v>0.7</v>
      </c>
      <c r="L673" s="3">
        <f t="shared" si="40"/>
        <v>644.7349999999999</v>
      </c>
      <c r="M673" s="3">
        <f t="shared" si="41"/>
        <v>276.31500000000005</v>
      </c>
      <c r="N673">
        <f t="shared" si="42"/>
        <v>1</v>
      </c>
      <c r="O673" s="3">
        <f t="shared" si="43"/>
        <v>0</v>
      </c>
      <c r="P673" t="str" cm="1">
        <f t="array" ref="P673">_xlfn.IFS(C673&lt;18, "Under 18", C673&lt;36, "Btw 18&amp;35", C673&lt;51, "Btw 36&amp;50", C673&lt;66, "Btw 51&amp;65", C673&gt;=66," 66&amp;Above")</f>
        <v>Btw 51&amp;65</v>
      </c>
    </row>
    <row r="674" spans="1:16">
      <c r="A674" t="s">
        <v>1252</v>
      </c>
      <c r="B674" t="s">
        <v>1253</v>
      </c>
      <c r="C674">
        <v>78</v>
      </c>
      <c r="D674" t="s">
        <v>18</v>
      </c>
      <c r="E674" s="2">
        <v>45404</v>
      </c>
      <c r="F674" s="2">
        <v>45411</v>
      </c>
      <c r="G674" t="s">
        <v>31</v>
      </c>
      <c r="H674" t="s">
        <v>114</v>
      </c>
      <c r="I674" s="3">
        <v>3751.44</v>
      </c>
      <c r="J674" t="s">
        <v>15</v>
      </c>
      <c r="K674" s="4">
        <v>0.8</v>
      </c>
      <c r="L674" s="3">
        <f t="shared" si="40"/>
        <v>3001.152</v>
      </c>
      <c r="M674" s="3">
        <f t="shared" si="41"/>
        <v>750.2879999999999</v>
      </c>
      <c r="N674">
        <f t="shared" si="42"/>
        <v>7</v>
      </c>
      <c r="O674" s="3">
        <f t="shared" si="43"/>
        <v>3751.44</v>
      </c>
      <c r="P674" t="str" cm="1">
        <f t="array" ref="P674">_xlfn.IFS(C674&lt;18, "Under 18", C674&lt;36, "Btw 18&amp;35", C674&lt;51, "Btw 36&amp;50", C674&lt;66, "Btw 51&amp;65", C674&gt;=66," 66&amp;Above")</f>
        <v xml:space="preserve"> 66&amp;Above</v>
      </c>
    </row>
    <row r="675" spans="1:16">
      <c r="A675" t="s">
        <v>1254</v>
      </c>
      <c r="B675" t="s">
        <v>1255</v>
      </c>
      <c r="C675">
        <v>73</v>
      </c>
      <c r="D675" t="s">
        <v>12</v>
      </c>
      <c r="E675" s="2">
        <v>45855</v>
      </c>
      <c r="F675" s="2">
        <v>45859</v>
      </c>
      <c r="G675" t="s">
        <v>31</v>
      </c>
      <c r="H675" t="s">
        <v>35</v>
      </c>
      <c r="I675" s="3">
        <v>5182.1499999999996</v>
      </c>
      <c r="J675" t="s">
        <v>25</v>
      </c>
      <c r="K675" s="4">
        <v>0.7</v>
      </c>
      <c r="L675" s="3">
        <f t="shared" si="40"/>
        <v>3627.5049999999997</v>
      </c>
      <c r="M675" s="3">
        <f t="shared" si="41"/>
        <v>1554.6450000000002</v>
      </c>
      <c r="N675">
        <f t="shared" si="42"/>
        <v>4</v>
      </c>
      <c r="O675" s="3">
        <f t="shared" si="43"/>
        <v>0</v>
      </c>
      <c r="P675" t="str" cm="1">
        <f t="array" ref="P675">_xlfn.IFS(C675&lt;18, "Under 18", C675&lt;36, "Btw 18&amp;35", C675&lt;51, "Btw 36&amp;50", C675&lt;66, "Btw 51&amp;65", C675&gt;=66," 66&amp;Above")</f>
        <v xml:space="preserve"> 66&amp;Above</v>
      </c>
    </row>
    <row r="676" spans="1:16">
      <c r="A676" t="s">
        <v>1256</v>
      </c>
      <c r="B676" t="s">
        <v>384</v>
      </c>
      <c r="C676">
        <v>57</v>
      </c>
      <c r="D676" t="s">
        <v>12</v>
      </c>
      <c r="E676" s="2">
        <v>45965</v>
      </c>
      <c r="F676" s="2">
        <v>45971</v>
      </c>
      <c r="G676" t="s">
        <v>13</v>
      </c>
      <c r="H676" t="s">
        <v>14</v>
      </c>
      <c r="I676" s="3">
        <v>13365.24</v>
      </c>
      <c r="J676" t="s">
        <v>25</v>
      </c>
      <c r="K676" s="4">
        <v>0.7</v>
      </c>
      <c r="L676" s="3">
        <f t="shared" si="40"/>
        <v>9355.6679999999997</v>
      </c>
      <c r="M676" s="3">
        <f t="shared" si="41"/>
        <v>4009.5720000000006</v>
      </c>
      <c r="N676">
        <f t="shared" si="42"/>
        <v>6</v>
      </c>
      <c r="O676" s="3">
        <f t="shared" si="43"/>
        <v>0</v>
      </c>
      <c r="P676" t="str" cm="1">
        <f t="array" ref="P676">_xlfn.IFS(C676&lt;18, "Under 18", C676&lt;36, "Btw 18&amp;35", C676&lt;51, "Btw 36&amp;50", C676&lt;66, "Btw 51&amp;65", C676&gt;=66," 66&amp;Above")</f>
        <v>Btw 51&amp;65</v>
      </c>
    </row>
    <row r="677" spans="1:16">
      <c r="A677" t="s">
        <v>1257</v>
      </c>
      <c r="B677" t="s">
        <v>1258</v>
      </c>
      <c r="C677">
        <v>75</v>
      </c>
      <c r="D677" t="s">
        <v>18</v>
      </c>
      <c r="E677" s="2">
        <v>45956</v>
      </c>
      <c r="F677" s="2">
        <v>45967</v>
      </c>
      <c r="G677" t="s">
        <v>60</v>
      </c>
      <c r="H677" t="s">
        <v>97</v>
      </c>
      <c r="I677" s="3">
        <v>14351.59</v>
      </c>
      <c r="J677" t="s">
        <v>15</v>
      </c>
      <c r="K677" s="4">
        <v>0.5</v>
      </c>
      <c r="L677" s="3">
        <f t="shared" si="40"/>
        <v>7175.7950000000001</v>
      </c>
      <c r="M677" s="3">
        <f t="shared" si="41"/>
        <v>7175.7950000000001</v>
      </c>
      <c r="N677">
        <f t="shared" si="42"/>
        <v>11</v>
      </c>
      <c r="O677" s="3">
        <f t="shared" si="43"/>
        <v>14351.59</v>
      </c>
      <c r="P677" t="str" cm="1">
        <f t="array" ref="P677">_xlfn.IFS(C677&lt;18, "Under 18", C677&lt;36, "Btw 18&amp;35", C677&lt;51, "Btw 36&amp;50", C677&lt;66, "Btw 51&amp;65", C677&gt;=66," 66&amp;Above")</f>
        <v xml:space="preserve"> 66&amp;Above</v>
      </c>
    </row>
    <row r="678" spans="1:16">
      <c r="A678" t="s">
        <v>1259</v>
      </c>
      <c r="B678" t="s">
        <v>1236</v>
      </c>
      <c r="C678">
        <v>2</v>
      </c>
      <c r="D678" t="s">
        <v>12</v>
      </c>
      <c r="E678" s="2">
        <v>45814</v>
      </c>
      <c r="F678" s="2">
        <v>45815</v>
      </c>
      <c r="G678" t="s">
        <v>49</v>
      </c>
      <c r="H678" t="s">
        <v>120</v>
      </c>
      <c r="I678" s="3">
        <v>1340.39</v>
      </c>
      <c r="J678" t="s">
        <v>25</v>
      </c>
      <c r="K678" s="4">
        <v>0.8</v>
      </c>
      <c r="L678" s="3">
        <f t="shared" si="40"/>
        <v>1072.3120000000001</v>
      </c>
      <c r="M678" s="3">
        <f t="shared" si="41"/>
        <v>268.07799999999997</v>
      </c>
      <c r="N678">
        <f t="shared" si="42"/>
        <v>1</v>
      </c>
      <c r="O678" s="3">
        <f t="shared" si="43"/>
        <v>0</v>
      </c>
      <c r="P678" t="str" cm="1">
        <f t="array" ref="P678">_xlfn.IFS(C678&lt;18, "Under 18", C678&lt;36, "Btw 18&amp;35", C678&lt;51, "Btw 36&amp;50", C678&lt;66, "Btw 51&amp;65", C678&gt;=66," 66&amp;Above")</f>
        <v>Under 18</v>
      </c>
    </row>
    <row r="679" spans="1:16">
      <c r="A679" t="s">
        <v>1260</v>
      </c>
      <c r="B679" t="s">
        <v>1261</v>
      </c>
      <c r="C679">
        <v>61</v>
      </c>
      <c r="D679" t="s">
        <v>12</v>
      </c>
      <c r="E679" s="2">
        <v>45900</v>
      </c>
      <c r="F679" s="2">
        <v>45902</v>
      </c>
      <c r="G679" t="s">
        <v>31</v>
      </c>
      <c r="H679" t="s">
        <v>234</v>
      </c>
      <c r="I679" s="3">
        <v>2477.89</v>
      </c>
      <c r="J679" t="s">
        <v>20</v>
      </c>
      <c r="K679" s="4">
        <v>0.8</v>
      </c>
      <c r="L679" s="3">
        <f t="shared" si="40"/>
        <v>1982.3119999999999</v>
      </c>
      <c r="M679" s="3">
        <f t="shared" si="41"/>
        <v>495.57799999999986</v>
      </c>
      <c r="N679">
        <f t="shared" si="42"/>
        <v>2</v>
      </c>
      <c r="O679" s="3">
        <f t="shared" si="43"/>
        <v>0</v>
      </c>
      <c r="P679" t="str" cm="1">
        <f t="array" ref="P679">_xlfn.IFS(C679&lt;18, "Under 18", C679&lt;36, "Btw 18&amp;35", C679&lt;51, "Btw 36&amp;50", C679&lt;66, "Btw 51&amp;65", C679&gt;=66," 66&amp;Above")</f>
        <v>Btw 51&amp;65</v>
      </c>
    </row>
    <row r="680" spans="1:16">
      <c r="A680" t="s">
        <v>1262</v>
      </c>
      <c r="B680" t="s">
        <v>735</v>
      </c>
      <c r="C680">
        <v>6</v>
      </c>
      <c r="D680" t="s">
        <v>18</v>
      </c>
      <c r="E680" s="2">
        <v>45981</v>
      </c>
      <c r="F680" s="2">
        <v>45983</v>
      </c>
      <c r="G680" t="s">
        <v>49</v>
      </c>
      <c r="H680" t="s">
        <v>130</v>
      </c>
      <c r="I680" s="3">
        <v>1871.78</v>
      </c>
      <c r="J680" t="s">
        <v>20</v>
      </c>
      <c r="K680" s="4">
        <v>0.8</v>
      </c>
      <c r="L680" s="3">
        <f t="shared" si="40"/>
        <v>1497.424</v>
      </c>
      <c r="M680" s="3">
        <f t="shared" si="41"/>
        <v>374.35599999999994</v>
      </c>
      <c r="N680">
        <f t="shared" si="42"/>
        <v>2</v>
      </c>
      <c r="O680" s="3">
        <f t="shared" si="43"/>
        <v>0</v>
      </c>
      <c r="P680" t="str" cm="1">
        <f t="array" ref="P680">_xlfn.IFS(C680&lt;18, "Under 18", C680&lt;36, "Btw 18&amp;35", C680&lt;51, "Btw 36&amp;50", C680&lt;66, "Btw 51&amp;65", C680&gt;=66," 66&amp;Above")</f>
        <v>Under 18</v>
      </c>
    </row>
    <row r="681" spans="1:16">
      <c r="A681" t="s">
        <v>1263</v>
      </c>
      <c r="B681" t="s">
        <v>1264</v>
      </c>
      <c r="C681">
        <v>36</v>
      </c>
      <c r="D681" t="s">
        <v>18</v>
      </c>
      <c r="E681" s="2">
        <v>45495</v>
      </c>
      <c r="F681" s="2">
        <v>45497</v>
      </c>
      <c r="G681" t="s">
        <v>23</v>
      </c>
      <c r="H681" t="s">
        <v>204</v>
      </c>
      <c r="I681" s="3">
        <v>3205.01</v>
      </c>
      <c r="J681" t="s">
        <v>15</v>
      </c>
      <c r="K681" s="4">
        <v>0.7</v>
      </c>
      <c r="L681" s="3">
        <f t="shared" si="40"/>
        <v>2243.5070000000001</v>
      </c>
      <c r="M681" s="3">
        <f t="shared" si="41"/>
        <v>961.50300000000016</v>
      </c>
      <c r="N681">
        <f t="shared" si="42"/>
        <v>2</v>
      </c>
      <c r="O681" s="3">
        <f t="shared" si="43"/>
        <v>3205.01</v>
      </c>
      <c r="P681" t="str" cm="1">
        <f t="array" ref="P681">_xlfn.IFS(C681&lt;18, "Under 18", C681&lt;36, "Btw 18&amp;35", C681&lt;51, "Btw 36&amp;50", C681&lt;66, "Btw 51&amp;65", C681&gt;=66," 66&amp;Above")</f>
        <v>Btw 36&amp;50</v>
      </c>
    </row>
    <row r="682" spans="1:16">
      <c r="A682" t="s">
        <v>1265</v>
      </c>
      <c r="B682" t="s">
        <v>1266</v>
      </c>
      <c r="C682">
        <v>52</v>
      </c>
      <c r="D682" t="s">
        <v>18</v>
      </c>
      <c r="E682" s="2">
        <v>45726</v>
      </c>
      <c r="F682" s="2">
        <v>45727</v>
      </c>
      <c r="G682" t="s">
        <v>31</v>
      </c>
      <c r="H682" t="s">
        <v>44</v>
      </c>
      <c r="I682" s="3">
        <v>1148.98</v>
      </c>
      <c r="J682" t="s">
        <v>25</v>
      </c>
      <c r="K682" s="4">
        <v>0.5</v>
      </c>
      <c r="L682" s="3">
        <f t="shared" si="40"/>
        <v>574.49</v>
      </c>
      <c r="M682" s="3">
        <f t="shared" si="41"/>
        <v>574.49</v>
      </c>
      <c r="N682">
        <f t="shared" si="42"/>
        <v>1</v>
      </c>
      <c r="O682" s="3">
        <f t="shared" si="43"/>
        <v>0</v>
      </c>
      <c r="P682" t="str" cm="1">
        <f t="array" ref="P682">_xlfn.IFS(C682&lt;18, "Under 18", C682&lt;36, "Btw 18&amp;35", C682&lt;51, "Btw 36&amp;50", C682&lt;66, "Btw 51&amp;65", C682&gt;=66," 66&amp;Above")</f>
        <v>Btw 51&amp;65</v>
      </c>
    </row>
    <row r="683" spans="1:16">
      <c r="A683" t="s">
        <v>1267</v>
      </c>
      <c r="B683" t="s">
        <v>1268</v>
      </c>
      <c r="C683">
        <v>6</v>
      </c>
      <c r="D683" t="s">
        <v>18</v>
      </c>
      <c r="E683" s="2">
        <v>45952</v>
      </c>
      <c r="F683" s="2">
        <v>45954</v>
      </c>
      <c r="G683" t="s">
        <v>49</v>
      </c>
      <c r="H683" t="s">
        <v>130</v>
      </c>
      <c r="I683" s="3">
        <v>2502.7199999999998</v>
      </c>
      <c r="J683" t="s">
        <v>15</v>
      </c>
      <c r="K683" s="4">
        <v>0.8</v>
      </c>
      <c r="L683" s="3">
        <f t="shared" si="40"/>
        <v>2002.1759999999999</v>
      </c>
      <c r="M683" s="3">
        <f t="shared" si="41"/>
        <v>500.54399999999987</v>
      </c>
      <c r="N683">
        <f t="shared" si="42"/>
        <v>2</v>
      </c>
      <c r="O683" s="3">
        <f t="shared" si="43"/>
        <v>2502.7199999999998</v>
      </c>
      <c r="P683" t="str" cm="1">
        <f t="array" ref="P683">_xlfn.IFS(C683&lt;18, "Under 18", C683&lt;36, "Btw 18&amp;35", C683&lt;51, "Btw 36&amp;50", C683&lt;66, "Btw 51&amp;65", C683&gt;=66," 66&amp;Above")</f>
        <v>Under 18</v>
      </c>
    </row>
    <row r="684" spans="1:16">
      <c r="A684" t="s">
        <v>1269</v>
      </c>
      <c r="B684" t="s">
        <v>1109</v>
      </c>
      <c r="C684">
        <v>68</v>
      </c>
      <c r="D684" t="s">
        <v>12</v>
      </c>
      <c r="E684" s="2">
        <v>45652</v>
      </c>
      <c r="F684" s="2">
        <v>45662</v>
      </c>
      <c r="G684" t="s">
        <v>60</v>
      </c>
      <c r="H684" t="s">
        <v>97</v>
      </c>
      <c r="I684" s="3">
        <v>23367.19</v>
      </c>
      <c r="J684" t="s">
        <v>25</v>
      </c>
      <c r="K684" s="4">
        <v>0.8</v>
      </c>
      <c r="L684" s="3">
        <f t="shared" si="40"/>
        <v>18693.752</v>
      </c>
      <c r="M684" s="3">
        <f t="shared" si="41"/>
        <v>4673.4379999999983</v>
      </c>
      <c r="N684">
        <f t="shared" si="42"/>
        <v>10</v>
      </c>
      <c r="O684" s="3">
        <f t="shared" si="43"/>
        <v>0</v>
      </c>
      <c r="P684" t="str" cm="1">
        <f t="array" ref="P684">_xlfn.IFS(C684&lt;18, "Under 18", C684&lt;36, "Btw 18&amp;35", C684&lt;51, "Btw 36&amp;50", C684&lt;66, "Btw 51&amp;65", C684&gt;=66," 66&amp;Above")</f>
        <v xml:space="preserve"> 66&amp;Above</v>
      </c>
    </row>
    <row r="685" spans="1:16">
      <c r="A685" t="s">
        <v>1270</v>
      </c>
      <c r="B685" t="s">
        <v>1271</v>
      </c>
      <c r="C685">
        <v>54</v>
      </c>
      <c r="D685" t="s">
        <v>12</v>
      </c>
      <c r="E685" s="2">
        <v>45917</v>
      </c>
      <c r="F685" s="2">
        <v>45929</v>
      </c>
      <c r="G685" t="s">
        <v>60</v>
      </c>
      <c r="H685" t="s">
        <v>77</v>
      </c>
      <c r="I685" s="3">
        <v>14220.87</v>
      </c>
      <c r="J685" t="s">
        <v>15</v>
      </c>
      <c r="K685" s="4">
        <v>0.8</v>
      </c>
      <c r="L685" s="3">
        <f t="shared" si="40"/>
        <v>11376.696000000002</v>
      </c>
      <c r="M685" s="3">
        <f t="shared" si="41"/>
        <v>2844.1739999999995</v>
      </c>
      <c r="N685">
        <f t="shared" si="42"/>
        <v>12</v>
      </c>
      <c r="O685" s="3">
        <f t="shared" si="43"/>
        <v>14220.87</v>
      </c>
      <c r="P685" t="str" cm="1">
        <f t="array" ref="P685">_xlfn.IFS(C685&lt;18, "Under 18", C685&lt;36, "Btw 18&amp;35", C685&lt;51, "Btw 36&amp;50", C685&lt;66, "Btw 51&amp;65", C685&gt;=66," 66&amp;Above")</f>
        <v>Btw 51&amp;65</v>
      </c>
    </row>
    <row r="686" spans="1:16">
      <c r="A686" t="s">
        <v>1272</v>
      </c>
      <c r="B686" t="s">
        <v>975</v>
      </c>
      <c r="C686">
        <v>7</v>
      </c>
      <c r="D686" t="s">
        <v>12</v>
      </c>
      <c r="E686" s="2">
        <v>45738</v>
      </c>
      <c r="F686" s="2">
        <v>45741</v>
      </c>
      <c r="G686" t="s">
        <v>49</v>
      </c>
      <c r="H686" t="s">
        <v>120</v>
      </c>
      <c r="I686" s="3">
        <v>2954.11</v>
      </c>
      <c r="J686" t="s">
        <v>15</v>
      </c>
      <c r="K686" s="4">
        <v>0.8</v>
      </c>
      <c r="L686" s="3">
        <f t="shared" si="40"/>
        <v>2363.288</v>
      </c>
      <c r="M686" s="3">
        <f t="shared" si="41"/>
        <v>590.82199999999989</v>
      </c>
      <c r="N686">
        <f t="shared" si="42"/>
        <v>3</v>
      </c>
      <c r="O686" s="3">
        <f t="shared" si="43"/>
        <v>2954.11</v>
      </c>
      <c r="P686" t="str" cm="1">
        <f t="array" ref="P686">_xlfn.IFS(C686&lt;18, "Under 18", C686&lt;36, "Btw 18&amp;35", C686&lt;51, "Btw 36&amp;50", C686&lt;66, "Btw 51&amp;65", C686&gt;=66," 66&amp;Above")</f>
        <v>Under 18</v>
      </c>
    </row>
    <row r="687" spans="1:16">
      <c r="A687" t="s">
        <v>1273</v>
      </c>
      <c r="B687" t="s">
        <v>969</v>
      </c>
      <c r="C687">
        <v>17</v>
      </c>
      <c r="D687" t="s">
        <v>18</v>
      </c>
      <c r="E687" s="2">
        <v>45984</v>
      </c>
      <c r="F687" s="2">
        <v>45985</v>
      </c>
      <c r="G687" t="s">
        <v>49</v>
      </c>
      <c r="H687" t="s">
        <v>130</v>
      </c>
      <c r="I687" s="3">
        <v>609.66</v>
      </c>
      <c r="J687" t="s">
        <v>25</v>
      </c>
      <c r="K687" s="4">
        <v>0.9</v>
      </c>
      <c r="L687" s="3">
        <f t="shared" si="40"/>
        <v>548.69399999999996</v>
      </c>
      <c r="M687" s="3">
        <f t="shared" si="41"/>
        <v>60.96599999999998</v>
      </c>
      <c r="N687">
        <f t="shared" si="42"/>
        <v>1</v>
      </c>
      <c r="O687" s="3">
        <f t="shared" si="43"/>
        <v>0</v>
      </c>
      <c r="P687" t="str" cm="1">
        <f t="array" ref="P687">_xlfn.IFS(C687&lt;18, "Under 18", C687&lt;36, "Btw 18&amp;35", C687&lt;51, "Btw 36&amp;50", C687&lt;66, "Btw 51&amp;65", C687&gt;=66," 66&amp;Above")</f>
        <v>Under 18</v>
      </c>
    </row>
    <row r="688" spans="1:16">
      <c r="A688" t="s">
        <v>1274</v>
      </c>
      <c r="B688" t="s">
        <v>435</v>
      </c>
      <c r="C688">
        <v>59</v>
      </c>
      <c r="D688" t="s">
        <v>12</v>
      </c>
      <c r="E688" s="2">
        <v>45967</v>
      </c>
      <c r="F688" s="2">
        <v>45971</v>
      </c>
      <c r="G688" t="s">
        <v>60</v>
      </c>
      <c r="H688" t="s">
        <v>133</v>
      </c>
      <c r="I688" s="3">
        <v>8093.46</v>
      </c>
      <c r="J688" t="s">
        <v>15</v>
      </c>
      <c r="K688" s="4">
        <v>0.8</v>
      </c>
      <c r="L688" s="3">
        <f t="shared" si="40"/>
        <v>6474.768</v>
      </c>
      <c r="M688" s="3">
        <f t="shared" si="41"/>
        <v>1618.6919999999996</v>
      </c>
      <c r="N688">
        <f t="shared" si="42"/>
        <v>4</v>
      </c>
      <c r="O688" s="3">
        <f t="shared" si="43"/>
        <v>8093.46</v>
      </c>
      <c r="P688" t="str" cm="1">
        <f t="array" ref="P688">_xlfn.IFS(C688&lt;18, "Under 18", C688&lt;36, "Btw 18&amp;35", C688&lt;51, "Btw 36&amp;50", C688&lt;66, "Btw 51&amp;65", C688&gt;=66," 66&amp;Above")</f>
        <v>Btw 51&amp;65</v>
      </c>
    </row>
    <row r="689" spans="1:16">
      <c r="A689" t="s">
        <v>1275</v>
      </c>
      <c r="B689" t="s">
        <v>1276</v>
      </c>
      <c r="C689">
        <v>81</v>
      </c>
      <c r="D689" t="s">
        <v>12</v>
      </c>
      <c r="E689" s="2">
        <v>45746</v>
      </c>
      <c r="F689" s="2">
        <v>45747</v>
      </c>
      <c r="G689" t="s">
        <v>23</v>
      </c>
      <c r="H689" t="s">
        <v>333</v>
      </c>
      <c r="I689" s="3">
        <v>2072.19</v>
      </c>
      <c r="J689" t="s">
        <v>25</v>
      </c>
      <c r="K689" s="4">
        <v>0.6</v>
      </c>
      <c r="L689" s="3">
        <f t="shared" si="40"/>
        <v>1243.3140000000001</v>
      </c>
      <c r="M689" s="3">
        <f t="shared" si="41"/>
        <v>828.87600000000009</v>
      </c>
      <c r="N689">
        <f t="shared" si="42"/>
        <v>1</v>
      </c>
      <c r="O689" s="3">
        <f t="shared" si="43"/>
        <v>0</v>
      </c>
      <c r="P689" t="str" cm="1">
        <f t="array" ref="P689">_xlfn.IFS(C689&lt;18, "Under 18", C689&lt;36, "Btw 18&amp;35", C689&lt;51, "Btw 36&amp;50", C689&lt;66, "Btw 51&amp;65", C689&gt;=66," 66&amp;Above")</f>
        <v xml:space="preserve"> 66&amp;Above</v>
      </c>
    </row>
    <row r="690" spans="1:16">
      <c r="A690" t="s">
        <v>1277</v>
      </c>
      <c r="B690" t="s">
        <v>1278</v>
      </c>
      <c r="C690">
        <v>21</v>
      </c>
      <c r="D690" t="s">
        <v>18</v>
      </c>
      <c r="E690" s="2">
        <v>46003</v>
      </c>
      <c r="F690" s="2">
        <v>46005</v>
      </c>
      <c r="G690" t="s">
        <v>23</v>
      </c>
      <c r="H690" t="s">
        <v>82</v>
      </c>
      <c r="I690" s="3">
        <v>1895.35</v>
      </c>
      <c r="J690" t="s">
        <v>20</v>
      </c>
      <c r="K690" s="4">
        <v>0.5</v>
      </c>
      <c r="L690" s="3">
        <f t="shared" si="40"/>
        <v>947.67499999999995</v>
      </c>
      <c r="M690" s="3">
        <f t="shared" si="41"/>
        <v>947.67499999999995</v>
      </c>
      <c r="N690">
        <f t="shared" si="42"/>
        <v>2</v>
      </c>
      <c r="O690" s="3">
        <f t="shared" si="43"/>
        <v>0</v>
      </c>
      <c r="P690" t="str" cm="1">
        <f t="array" ref="P690">_xlfn.IFS(C690&lt;18, "Under 18", C690&lt;36, "Btw 18&amp;35", C690&lt;51, "Btw 36&amp;50", C690&lt;66, "Btw 51&amp;65", C690&gt;=66," 66&amp;Above")</f>
        <v>Btw 18&amp;35</v>
      </c>
    </row>
    <row r="691" spans="1:16">
      <c r="A691" t="s">
        <v>1279</v>
      </c>
      <c r="B691" t="s">
        <v>1280</v>
      </c>
      <c r="C691">
        <v>32</v>
      </c>
      <c r="D691" t="s">
        <v>12</v>
      </c>
      <c r="E691" s="2">
        <v>45995</v>
      </c>
      <c r="F691" s="2">
        <v>45996</v>
      </c>
      <c r="G691" t="s">
        <v>31</v>
      </c>
      <c r="H691" t="s">
        <v>35</v>
      </c>
      <c r="I691" s="3">
        <v>1195.19</v>
      </c>
      <c r="J691" t="s">
        <v>15</v>
      </c>
      <c r="K691" s="4">
        <v>1</v>
      </c>
      <c r="L691" s="3">
        <f t="shared" si="40"/>
        <v>1195.19</v>
      </c>
      <c r="M691" s="3">
        <f t="shared" si="41"/>
        <v>0</v>
      </c>
      <c r="N691">
        <f t="shared" si="42"/>
        <v>1</v>
      </c>
      <c r="O691" s="3">
        <f t="shared" si="43"/>
        <v>1195.19</v>
      </c>
      <c r="P691" t="str" cm="1">
        <f t="array" ref="P691">_xlfn.IFS(C691&lt;18, "Under 18", C691&lt;36, "Btw 18&amp;35", C691&lt;51, "Btw 36&amp;50", C691&lt;66, "Btw 51&amp;65", C691&gt;=66," 66&amp;Above")</f>
        <v>Btw 18&amp;35</v>
      </c>
    </row>
    <row r="692" spans="1:16">
      <c r="A692" t="s">
        <v>1281</v>
      </c>
      <c r="B692" t="s">
        <v>1282</v>
      </c>
      <c r="C692">
        <v>59</v>
      </c>
      <c r="D692" t="s">
        <v>12</v>
      </c>
      <c r="E692" s="2">
        <v>45953</v>
      </c>
      <c r="F692" s="2">
        <v>45956</v>
      </c>
      <c r="G692" t="s">
        <v>23</v>
      </c>
      <c r="H692" t="s">
        <v>41</v>
      </c>
      <c r="I692" s="3">
        <v>6880.53</v>
      </c>
      <c r="J692" t="s">
        <v>20</v>
      </c>
      <c r="K692" s="4">
        <v>0.9</v>
      </c>
      <c r="L692" s="3">
        <f t="shared" si="40"/>
        <v>6192.4769999999999</v>
      </c>
      <c r="M692" s="3">
        <f t="shared" si="41"/>
        <v>688.05299999999977</v>
      </c>
      <c r="N692">
        <f t="shared" si="42"/>
        <v>3</v>
      </c>
      <c r="O692" s="3">
        <f t="shared" si="43"/>
        <v>0</v>
      </c>
      <c r="P692" t="str" cm="1">
        <f t="array" ref="P692">_xlfn.IFS(C692&lt;18, "Under 18", C692&lt;36, "Btw 18&amp;35", C692&lt;51, "Btw 36&amp;50", C692&lt;66, "Btw 51&amp;65", C692&gt;=66," 66&amp;Above")</f>
        <v>Btw 51&amp;65</v>
      </c>
    </row>
    <row r="693" spans="1:16">
      <c r="A693" t="s">
        <v>1283</v>
      </c>
      <c r="B693" t="s">
        <v>150</v>
      </c>
      <c r="C693">
        <v>3</v>
      </c>
      <c r="D693" t="s">
        <v>18</v>
      </c>
      <c r="E693" s="2">
        <v>45782</v>
      </c>
      <c r="F693" s="2">
        <v>45787</v>
      </c>
      <c r="G693" t="s">
        <v>49</v>
      </c>
      <c r="H693" t="s">
        <v>50</v>
      </c>
      <c r="I693" s="3">
        <v>8731.85</v>
      </c>
      <c r="J693" t="s">
        <v>20</v>
      </c>
      <c r="K693" s="4">
        <v>1</v>
      </c>
      <c r="L693" s="3">
        <f t="shared" si="40"/>
        <v>8731.85</v>
      </c>
      <c r="M693" s="3">
        <f t="shared" si="41"/>
        <v>0</v>
      </c>
      <c r="N693">
        <f t="shared" si="42"/>
        <v>5</v>
      </c>
      <c r="O693" s="3">
        <f t="shared" si="43"/>
        <v>0</v>
      </c>
      <c r="P693" t="str" cm="1">
        <f t="array" ref="P693">_xlfn.IFS(C693&lt;18, "Under 18", C693&lt;36, "Btw 18&amp;35", C693&lt;51, "Btw 36&amp;50", C693&lt;66, "Btw 51&amp;65", C693&gt;=66," 66&amp;Above")</f>
        <v>Under 18</v>
      </c>
    </row>
    <row r="694" spans="1:16">
      <c r="A694" t="s">
        <v>1284</v>
      </c>
      <c r="B694" t="s">
        <v>827</v>
      </c>
      <c r="C694">
        <v>71</v>
      </c>
      <c r="D694" t="s">
        <v>18</v>
      </c>
      <c r="E694" s="2">
        <v>45673</v>
      </c>
      <c r="F694" s="2">
        <v>45679</v>
      </c>
      <c r="G694" t="s">
        <v>70</v>
      </c>
      <c r="H694" t="s">
        <v>237</v>
      </c>
      <c r="I694" s="3">
        <v>10575.02</v>
      </c>
      <c r="J694" t="s">
        <v>20</v>
      </c>
      <c r="K694" s="4">
        <v>0.7</v>
      </c>
      <c r="L694" s="3">
        <f t="shared" si="40"/>
        <v>7402.5140000000001</v>
      </c>
      <c r="M694" s="3">
        <f t="shared" si="41"/>
        <v>3172.5060000000008</v>
      </c>
      <c r="N694">
        <f t="shared" si="42"/>
        <v>6</v>
      </c>
      <c r="O694" s="3">
        <f t="shared" si="43"/>
        <v>0</v>
      </c>
      <c r="P694" t="str" cm="1">
        <f t="array" ref="P694">_xlfn.IFS(C694&lt;18, "Under 18", C694&lt;36, "Btw 18&amp;35", C694&lt;51, "Btw 36&amp;50", C694&lt;66, "Btw 51&amp;65", C694&gt;=66," 66&amp;Above")</f>
        <v xml:space="preserve"> 66&amp;Above</v>
      </c>
    </row>
    <row r="695" spans="1:16">
      <c r="A695" t="s">
        <v>1285</v>
      </c>
      <c r="B695" t="s">
        <v>1286</v>
      </c>
      <c r="C695">
        <v>46</v>
      </c>
      <c r="D695" t="s">
        <v>18</v>
      </c>
      <c r="E695" s="2">
        <v>45645</v>
      </c>
      <c r="F695" s="2">
        <v>45648</v>
      </c>
      <c r="G695" t="s">
        <v>31</v>
      </c>
      <c r="H695" t="s">
        <v>87</v>
      </c>
      <c r="I695" s="3">
        <v>1975.02</v>
      </c>
      <c r="J695" t="s">
        <v>25</v>
      </c>
      <c r="K695" s="4">
        <v>0.9</v>
      </c>
      <c r="L695" s="3">
        <f t="shared" si="40"/>
        <v>1777.518</v>
      </c>
      <c r="M695" s="3">
        <f t="shared" si="41"/>
        <v>197.50199999999995</v>
      </c>
      <c r="N695">
        <f t="shared" si="42"/>
        <v>3</v>
      </c>
      <c r="O695" s="3">
        <f t="shared" si="43"/>
        <v>0</v>
      </c>
      <c r="P695" t="str" cm="1">
        <f t="array" ref="P695">_xlfn.IFS(C695&lt;18, "Under 18", C695&lt;36, "Btw 18&amp;35", C695&lt;51, "Btw 36&amp;50", C695&lt;66, "Btw 51&amp;65", C695&gt;=66," 66&amp;Above")</f>
        <v>Btw 36&amp;50</v>
      </c>
    </row>
    <row r="696" spans="1:16">
      <c r="A696" t="s">
        <v>1287</v>
      </c>
      <c r="B696" t="s">
        <v>1288</v>
      </c>
      <c r="C696">
        <v>47</v>
      </c>
      <c r="D696" t="s">
        <v>12</v>
      </c>
      <c r="E696" s="2">
        <v>45398</v>
      </c>
      <c r="F696" s="2">
        <v>45406</v>
      </c>
      <c r="G696" t="s">
        <v>60</v>
      </c>
      <c r="H696" t="s">
        <v>142</v>
      </c>
      <c r="I696" s="3">
        <v>14406.87</v>
      </c>
      <c r="J696" t="s">
        <v>20</v>
      </c>
      <c r="K696" s="4">
        <v>1</v>
      </c>
      <c r="L696" s="3">
        <f t="shared" si="40"/>
        <v>14406.87</v>
      </c>
      <c r="M696" s="3">
        <f t="shared" si="41"/>
        <v>0</v>
      </c>
      <c r="N696">
        <f t="shared" si="42"/>
        <v>8</v>
      </c>
      <c r="O696" s="3">
        <f t="shared" si="43"/>
        <v>0</v>
      </c>
      <c r="P696" t="str" cm="1">
        <f t="array" ref="P696">_xlfn.IFS(C696&lt;18, "Under 18", C696&lt;36, "Btw 18&amp;35", C696&lt;51, "Btw 36&amp;50", C696&lt;66, "Btw 51&amp;65", C696&gt;=66," 66&amp;Above")</f>
        <v>Btw 36&amp;50</v>
      </c>
    </row>
    <row r="697" spans="1:16">
      <c r="A697" t="s">
        <v>1289</v>
      </c>
      <c r="B697" t="s">
        <v>1196</v>
      </c>
      <c r="C697">
        <v>79</v>
      </c>
      <c r="D697" t="s">
        <v>18</v>
      </c>
      <c r="E697" s="2">
        <v>45912</v>
      </c>
      <c r="F697" s="2">
        <v>45917</v>
      </c>
      <c r="G697" t="s">
        <v>13</v>
      </c>
      <c r="H697" t="s">
        <v>165</v>
      </c>
      <c r="I697" s="3">
        <v>10285.16</v>
      </c>
      <c r="J697" t="s">
        <v>25</v>
      </c>
      <c r="K697" s="4">
        <v>0.8</v>
      </c>
      <c r="L697" s="3">
        <f t="shared" si="40"/>
        <v>8228.1280000000006</v>
      </c>
      <c r="M697" s="3">
        <f t="shared" si="41"/>
        <v>2057.0319999999997</v>
      </c>
      <c r="N697">
        <f t="shared" si="42"/>
        <v>5</v>
      </c>
      <c r="O697" s="3">
        <f t="shared" si="43"/>
        <v>0</v>
      </c>
      <c r="P697" t="str" cm="1">
        <f t="array" ref="P697">_xlfn.IFS(C697&lt;18, "Under 18", C697&lt;36, "Btw 18&amp;35", C697&lt;51, "Btw 36&amp;50", C697&lt;66, "Btw 51&amp;65", C697&gt;=66," 66&amp;Above")</f>
        <v xml:space="preserve"> 66&amp;Above</v>
      </c>
    </row>
    <row r="698" spans="1:16">
      <c r="A698" t="s">
        <v>1290</v>
      </c>
      <c r="B698" t="s">
        <v>1291</v>
      </c>
      <c r="C698">
        <v>14</v>
      </c>
      <c r="D698" t="s">
        <v>12</v>
      </c>
      <c r="E698" s="2">
        <v>45388</v>
      </c>
      <c r="F698" s="2">
        <v>45389</v>
      </c>
      <c r="G698" t="s">
        <v>49</v>
      </c>
      <c r="H698" t="s">
        <v>50</v>
      </c>
      <c r="I698" s="3">
        <v>730.74</v>
      </c>
      <c r="J698" t="s">
        <v>25</v>
      </c>
      <c r="K698" s="4">
        <v>0</v>
      </c>
      <c r="L698" s="3">
        <f t="shared" si="40"/>
        <v>0</v>
      </c>
      <c r="M698" s="3">
        <f t="shared" si="41"/>
        <v>730.74</v>
      </c>
      <c r="N698">
        <f t="shared" si="42"/>
        <v>1</v>
      </c>
      <c r="O698" s="3">
        <f t="shared" si="43"/>
        <v>0</v>
      </c>
      <c r="P698" t="str" cm="1">
        <f t="array" ref="P698">_xlfn.IFS(C698&lt;18, "Under 18", C698&lt;36, "Btw 18&amp;35", C698&lt;51, "Btw 36&amp;50", C698&lt;66, "Btw 51&amp;65", C698&gt;=66," 66&amp;Above")</f>
        <v>Under 18</v>
      </c>
    </row>
    <row r="699" spans="1:16">
      <c r="A699" t="s">
        <v>1292</v>
      </c>
      <c r="B699" t="s">
        <v>1293</v>
      </c>
      <c r="C699">
        <v>30</v>
      </c>
      <c r="D699" t="s">
        <v>12</v>
      </c>
      <c r="E699" s="2">
        <v>45937</v>
      </c>
      <c r="F699" s="2">
        <v>45943</v>
      </c>
      <c r="G699" t="s">
        <v>60</v>
      </c>
      <c r="H699" t="s">
        <v>142</v>
      </c>
      <c r="I699" s="3">
        <v>12841.02</v>
      </c>
      <c r="J699" t="s">
        <v>15</v>
      </c>
      <c r="K699" s="4">
        <v>0.7</v>
      </c>
      <c r="L699" s="3">
        <f t="shared" si="40"/>
        <v>8988.7139999999999</v>
      </c>
      <c r="M699" s="3">
        <f t="shared" si="41"/>
        <v>3852.3060000000005</v>
      </c>
      <c r="N699">
        <f t="shared" si="42"/>
        <v>6</v>
      </c>
      <c r="O699" s="3">
        <f t="shared" si="43"/>
        <v>12841.02</v>
      </c>
      <c r="P699" t="str" cm="1">
        <f t="array" ref="P699">_xlfn.IFS(C699&lt;18, "Under 18", C699&lt;36, "Btw 18&amp;35", C699&lt;51, "Btw 36&amp;50", C699&lt;66, "Btw 51&amp;65", C699&gt;=66," 66&amp;Above")</f>
        <v>Btw 18&amp;35</v>
      </c>
    </row>
    <row r="700" spans="1:16">
      <c r="A700" t="s">
        <v>1294</v>
      </c>
      <c r="B700" t="s">
        <v>1295</v>
      </c>
      <c r="C700">
        <v>71</v>
      </c>
      <c r="D700" t="s">
        <v>12</v>
      </c>
      <c r="E700" s="2">
        <v>45365</v>
      </c>
      <c r="F700" s="2">
        <v>45368</v>
      </c>
      <c r="G700" t="s">
        <v>70</v>
      </c>
      <c r="H700" t="s">
        <v>295</v>
      </c>
      <c r="I700" s="3">
        <v>3969.91</v>
      </c>
      <c r="J700" t="s">
        <v>15</v>
      </c>
      <c r="K700" s="4">
        <v>0.9</v>
      </c>
      <c r="L700" s="3">
        <f t="shared" si="40"/>
        <v>3572.9189999999999</v>
      </c>
      <c r="M700" s="3">
        <f t="shared" si="41"/>
        <v>396.99099999999987</v>
      </c>
      <c r="N700">
        <f t="shared" si="42"/>
        <v>3</v>
      </c>
      <c r="O700" s="3">
        <f t="shared" si="43"/>
        <v>3969.91</v>
      </c>
      <c r="P700" t="str" cm="1">
        <f t="array" ref="P700">_xlfn.IFS(C700&lt;18, "Under 18", C700&lt;36, "Btw 18&amp;35", C700&lt;51, "Btw 36&amp;50", C700&lt;66, "Btw 51&amp;65", C700&gt;=66," 66&amp;Above")</f>
        <v xml:space="preserve"> 66&amp;Above</v>
      </c>
    </row>
    <row r="701" spans="1:16">
      <c r="A701" t="s">
        <v>1296</v>
      </c>
      <c r="B701" t="s">
        <v>1297</v>
      </c>
      <c r="C701">
        <v>47</v>
      </c>
      <c r="D701" t="s">
        <v>12</v>
      </c>
      <c r="E701" s="2">
        <v>45910</v>
      </c>
      <c r="F701" s="2">
        <v>45913</v>
      </c>
      <c r="G701" t="s">
        <v>31</v>
      </c>
      <c r="H701" t="s">
        <v>32</v>
      </c>
      <c r="I701" s="3">
        <v>3558.48</v>
      </c>
      <c r="J701" t="s">
        <v>20</v>
      </c>
      <c r="K701" s="4">
        <v>0.9</v>
      </c>
      <c r="L701" s="3">
        <f t="shared" si="40"/>
        <v>3202.6320000000001</v>
      </c>
      <c r="M701" s="3">
        <f t="shared" si="41"/>
        <v>355.8479999999999</v>
      </c>
      <c r="N701">
        <f t="shared" si="42"/>
        <v>3</v>
      </c>
      <c r="O701" s="3">
        <f t="shared" si="43"/>
        <v>0</v>
      </c>
      <c r="P701" t="str" cm="1">
        <f t="array" ref="P701">_xlfn.IFS(C701&lt;18, "Under 18", C701&lt;36, "Btw 18&amp;35", C701&lt;51, "Btw 36&amp;50", C701&lt;66, "Btw 51&amp;65", C701&gt;=66," 66&amp;Above")</f>
        <v>Btw 36&amp;50</v>
      </c>
    </row>
    <row r="702" spans="1:16">
      <c r="A702" t="s">
        <v>1298</v>
      </c>
      <c r="B702" t="s">
        <v>1299</v>
      </c>
      <c r="C702">
        <v>35</v>
      </c>
      <c r="D702" t="s">
        <v>12</v>
      </c>
      <c r="E702" s="2">
        <v>45647</v>
      </c>
      <c r="F702" s="2">
        <v>45649</v>
      </c>
      <c r="G702" t="s">
        <v>23</v>
      </c>
      <c r="H702" t="s">
        <v>28</v>
      </c>
      <c r="I702" s="3">
        <v>2492.36</v>
      </c>
      <c r="J702" t="s">
        <v>25</v>
      </c>
      <c r="K702" s="4">
        <v>0.9</v>
      </c>
      <c r="L702" s="3">
        <f t="shared" si="40"/>
        <v>2243.1240000000003</v>
      </c>
      <c r="M702" s="3">
        <f t="shared" si="41"/>
        <v>249.23599999999996</v>
      </c>
      <c r="N702">
        <f t="shared" si="42"/>
        <v>2</v>
      </c>
      <c r="O702" s="3">
        <f t="shared" si="43"/>
        <v>0</v>
      </c>
      <c r="P702" t="str" cm="1">
        <f t="array" ref="P702">_xlfn.IFS(C702&lt;18, "Under 18", C702&lt;36, "Btw 18&amp;35", C702&lt;51, "Btw 36&amp;50", C702&lt;66, "Btw 51&amp;65", C702&gt;=66," 66&amp;Above")</f>
        <v>Btw 18&amp;35</v>
      </c>
    </row>
    <row r="703" spans="1:16">
      <c r="A703" t="s">
        <v>1300</v>
      </c>
      <c r="B703" t="s">
        <v>1301</v>
      </c>
      <c r="C703">
        <v>64</v>
      </c>
      <c r="D703" t="s">
        <v>12</v>
      </c>
      <c r="E703" s="2">
        <v>45752</v>
      </c>
      <c r="F703" s="2">
        <v>45755</v>
      </c>
      <c r="G703" t="s">
        <v>31</v>
      </c>
      <c r="H703" t="s">
        <v>234</v>
      </c>
      <c r="I703" s="3">
        <v>2931.95</v>
      </c>
      <c r="J703" t="s">
        <v>15</v>
      </c>
      <c r="K703" s="4">
        <v>1</v>
      </c>
      <c r="L703" s="3">
        <f t="shared" si="40"/>
        <v>2931.95</v>
      </c>
      <c r="M703" s="3">
        <f t="shared" si="41"/>
        <v>0</v>
      </c>
      <c r="N703">
        <f t="shared" si="42"/>
        <v>3</v>
      </c>
      <c r="O703" s="3">
        <f t="shared" si="43"/>
        <v>2931.95</v>
      </c>
      <c r="P703" t="str" cm="1">
        <f t="array" ref="P703">_xlfn.IFS(C703&lt;18, "Under 18", C703&lt;36, "Btw 18&amp;35", C703&lt;51, "Btw 36&amp;50", C703&lt;66, "Btw 51&amp;65", C703&gt;=66," 66&amp;Above")</f>
        <v>Btw 51&amp;65</v>
      </c>
    </row>
    <row r="704" spans="1:16">
      <c r="A704" t="s">
        <v>1302</v>
      </c>
      <c r="B704" t="s">
        <v>1303</v>
      </c>
      <c r="C704">
        <v>39</v>
      </c>
      <c r="D704" t="s">
        <v>18</v>
      </c>
      <c r="E704" s="2">
        <v>45634</v>
      </c>
      <c r="F704" s="2">
        <v>45636</v>
      </c>
      <c r="G704" t="s">
        <v>23</v>
      </c>
      <c r="H704" t="s">
        <v>204</v>
      </c>
      <c r="I704" s="3">
        <v>3264.79</v>
      </c>
      <c r="J704" t="s">
        <v>15</v>
      </c>
      <c r="K704" s="4">
        <v>0.7</v>
      </c>
      <c r="L704" s="3">
        <f t="shared" si="40"/>
        <v>2285.3529999999996</v>
      </c>
      <c r="M704" s="3">
        <f t="shared" si="41"/>
        <v>979.43700000000013</v>
      </c>
      <c r="N704">
        <f t="shared" si="42"/>
        <v>2</v>
      </c>
      <c r="O704" s="3">
        <f t="shared" si="43"/>
        <v>3264.79</v>
      </c>
      <c r="P704" t="str" cm="1">
        <f t="array" ref="P704">_xlfn.IFS(C704&lt;18, "Under 18", C704&lt;36, "Btw 18&amp;35", C704&lt;51, "Btw 36&amp;50", C704&lt;66, "Btw 51&amp;65", C704&gt;=66," 66&amp;Above")</f>
        <v>Btw 36&amp;50</v>
      </c>
    </row>
    <row r="705" spans="1:16">
      <c r="A705" t="s">
        <v>1304</v>
      </c>
      <c r="B705" t="s">
        <v>1305</v>
      </c>
      <c r="C705">
        <v>65</v>
      </c>
      <c r="D705" t="s">
        <v>12</v>
      </c>
      <c r="E705" s="2">
        <v>46019</v>
      </c>
      <c r="F705" s="2">
        <v>46023</v>
      </c>
      <c r="G705" t="s">
        <v>31</v>
      </c>
      <c r="H705" t="s">
        <v>87</v>
      </c>
      <c r="I705" s="3">
        <v>5976.06</v>
      </c>
      <c r="J705" t="s">
        <v>20</v>
      </c>
      <c r="K705" s="4">
        <v>0.7</v>
      </c>
      <c r="L705" s="3">
        <f t="shared" si="40"/>
        <v>4183.2420000000002</v>
      </c>
      <c r="M705" s="3">
        <f t="shared" si="41"/>
        <v>1792.8180000000004</v>
      </c>
      <c r="N705">
        <f t="shared" si="42"/>
        <v>4</v>
      </c>
      <c r="O705" s="3">
        <f t="shared" si="43"/>
        <v>0</v>
      </c>
      <c r="P705" t="str" cm="1">
        <f t="array" ref="P705">_xlfn.IFS(C705&lt;18, "Under 18", C705&lt;36, "Btw 18&amp;35", C705&lt;51, "Btw 36&amp;50", C705&lt;66, "Btw 51&amp;65", C705&gt;=66," 66&amp;Above")</f>
        <v>Btw 51&amp;65</v>
      </c>
    </row>
    <row r="706" spans="1:16">
      <c r="A706" t="s">
        <v>1306</v>
      </c>
      <c r="B706" t="s">
        <v>843</v>
      </c>
      <c r="C706">
        <v>85</v>
      </c>
      <c r="D706" t="s">
        <v>18</v>
      </c>
      <c r="E706" s="2">
        <v>45742</v>
      </c>
      <c r="F706" s="2">
        <v>45743</v>
      </c>
      <c r="G706" t="s">
        <v>31</v>
      </c>
      <c r="H706" t="s">
        <v>32</v>
      </c>
      <c r="I706" s="3">
        <v>1133.0999999999999</v>
      </c>
      <c r="J706" t="s">
        <v>20</v>
      </c>
      <c r="K706" s="4">
        <v>0.7</v>
      </c>
      <c r="L706" s="3">
        <f t="shared" si="40"/>
        <v>793.16999999999985</v>
      </c>
      <c r="M706" s="3">
        <f t="shared" si="41"/>
        <v>339.93</v>
      </c>
      <c r="N706">
        <f t="shared" si="42"/>
        <v>1</v>
      </c>
      <c r="O706" s="3">
        <f t="shared" si="43"/>
        <v>0</v>
      </c>
      <c r="P706" t="str" cm="1">
        <f t="array" ref="P706">_xlfn.IFS(C706&lt;18, "Under 18", C706&lt;36, "Btw 18&amp;35", C706&lt;51, "Btw 36&amp;50", C706&lt;66, "Btw 51&amp;65", C706&gt;=66," 66&amp;Above")</f>
        <v xml:space="preserve"> 66&amp;Above</v>
      </c>
    </row>
    <row r="707" spans="1:16">
      <c r="A707" t="s">
        <v>1307</v>
      </c>
      <c r="B707" t="s">
        <v>1101</v>
      </c>
      <c r="C707">
        <v>85</v>
      </c>
      <c r="D707" t="s">
        <v>12</v>
      </c>
      <c r="E707" s="2">
        <v>45897</v>
      </c>
      <c r="F707" s="2">
        <v>45899</v>
      </c>
      <c r="G707" t="s">
        <v>23</v>
      </c>
      <c r="H707" t="s">
        <v>204</v>
      </c>
      <c r="I707" s="3">
        <v>4676.38</v>
      </c>
      <c r="J707" t="s">
        <v>15</v>
      </c>
      <c r="K707" s="4">
        <v>0.9</v>
      </c>
      <c r="L707" s="3">
        <f t="shared" ref="L707:L770" si="44">I707*K707</f>
        <v>4208.7420000000002</v>
      </c>
      <c r="M707" s="3">
        <f t="shared" ref="M707:M770" si="45">(100%-K707)*I707</f>
        <v>467.63799999999992</v>
      </c>
      <c r="N707">
        <f t="shared" ref="N707:N770" si="46">_xlfn.DAYS(F707,E707)</f>
        <v>2</v>
      </c>
      <c r="O707" s="3">
        <f t="shared" ref="O707:O770" si="47">IF(J707="Paid", I707, 0)</f>
        <v>4676.38</v>
      </c>
      <c r="P707" t="str" cm="1">
        <f t="array" ref="P707">_xlfn.IFS(C707&lt;18, "Under 18", C707&lt;36, "Btw 18&amp;35", C707&lt;51, "Btw 36&amp;50", C707&lt;66, "Btw 51&amp;65", C707&gt;=66," 66&amp;Above")</f>
        <v xml:space="preserve"> 66&amp;Above</v>
      </c>
    </row>
    <row r="708" spans="1:16">
      <c r="A708" t="s">
        <v>1308</v>
      </c>
      <c r="B708" t="s">
        <v>1034</v>
      </c>
      <c r="C708">
        <v>72</v>
      </c>
      <c r="D708" t="s">
        <v>12</v>
      </c>
      <c r="E708" s="2">
        <v>45664</v>
      </c>
      <c r="F708" s="2">
        <v>45666</v>
      </c>
      <c r="G708" t="s">
        <v>23</v>
      </c>
      <c r="H708" t="s">
        <v>204</v>
      </c>
      <c r="I708" s="3">
        <v>2041.86</v>
      </c>
      <c r="J708" t="s">
        <v>15</v>
      </c>
      <c r="K708" s="4">
        <v>0.9</v>
      </c>
      <c r="L708" s="3">
        <f t="shared" si="44"/>
        <v>1837.674</v>
      </c>
      <c r="M708" s="3">
        <f t="shared" si="45"/>
        <v>204.18599999999995</v>
      </c>
      <c r="N708">
        <f t="shared" si="46"/>
        <v>2</v>
      </c>
      <c r="O708" s="3">
        <f t="shared" si="47"/>
        <v>2041.86</v>
      </c>
      <c r="P708" t="str" cm="1">
        <f t="array" ref="P708">_xlfn.IFS(C708&lt;18, "Under 18", C708&lt;36, "Btw 18&amp;35", C708&lt;51, "Btw 36&amp;50", C708&lt;66, "Btw 51&amp;65", C708&gt;=66," 66&amp;Above")</f>
        <v xml:space="preserve"> 66&amp;Above</v>
      </c>
    </row>
    <row r="709" spans="1:16">
      <c r="A709" t="s">
        <v>1309</v>
      </c>
      <c r="B709" t="s">
        <v>973</v>
      </c>
      <c r="C709">
        <v>40</v>
      </c>
      <c r="D709" t="s">
        <v>18</v>
      </c>
      <c r="E709" s="2">
        <v>45495</v>
      </c>
      <c r="F709" s="2">
        <v>45501</v>
      </c>
      <c r="G709" t="s">
        <v>13</v>
      </c>
      <c r="H709" t="s">
        <v>165</v>
      </c>
      <c r="I709" s="3">
        <v>11703.16</v>
      </c>
      <c r="J709" t="s">
        <v>15</v>
      </c>
      <c r="K709" s="4">
        <v>0.9</v>
      </c>
      <c r="L709" s="3">
        <f t="shared" si="44"/>
        <v>10532.844000000001</v>
      </c>
      <c r="M709" s="3">
        <f t="shared" si="45"/>
        <v>1170.3159999999998</v>
      </c>
      <c r="N709">
        <f t="shared" si="46"/>
        <v>6</v>
      </c>
      <c r="O709" s="3">
        <f t="shared" si="47"/>
        <v>11703.16</v>
      </c>
      <c r="P709" t="str" cm="1">
        <f t="array" ref="P709">_xlfn.IFS(C709&lt;18, "Under 18", C709&lt;36, "Btw 18&amp;35", C709&lt;51, "Btw 36&amp;50", C709&lt;66, "Btw 51&amp;65", C709&gt;=66," 66&amp;Above")</f>
        <v>Btw 36&amp;50</v>
      </c>
    </row>
    <row r="710" spans="1:16">
      <c r="A710" t="s">
        <v>1310</v>
      </c>
      <c r="B710" t="s">
        <v>27</v>
      </c>
      <c r="C710">
        <v>6</v>
      </c>
      <c r="D710" t="s">
        <v>18</v>
      </c>
      <c r="E710" s="2">
        <v>45942</v>
      </c>
      <c r="F710" s="2">
        <v>45943</v>
      </c>
      <c r="G710" t="s">
        <v>49</v>
      </c>
      <c r="H710" t="s">
        <v>130</v>
      </c>
      <c r="I710" s="3">
        <v>1336.01</v>
      </c>
      <c r="J710" t="s">
        <v>20</v>
      </c>
      <c r="K710" s="4">
        <v>0.8</v>
      </c>
      <c r="L710" s="3">
        <f t="shared" si="44"/>
        <v>1068.808</v>
      </c>
      <c r="M710" s="3">
        <f t="shared" si="45"/>
        <v>267.20199999999994</v>
      </c>
      <c r="N710">
        <f t="shared" si="46"/>
        <v>1</v>
      </c>
      <c r="O710" s="3">
        <f t="shared" si="47"/>
        <v>0</v>
      </c>
      <c r="P710" t="str" cm="1">
        <f t="array" ref="P710">_xlfn.IFS(C710&lt;18, "Under 18", C710&lt;36, "Btw 18&amp;35", C710&lt;51, "Btw 36&amp;50", C710&lt;66, "Btw 51&amp;65", C710&gt;=66," 66&amp;Above")</f>
        <v>Under 18</v>
      </c>
    </row>
    <row r="711" spans="1:16">
      <c r="A711" t="s">
        <v>1311</v>
      </c>
      <c r="B711" t="s">
        <v>1312</v>
      </c>
      <c r="C711">
        <v>81</v>
      </c>
      <c r="D711" t="s">
        <v>12</v>
      </c>
      <c r="E711" s="2">
        <v>45777</v>
      </c>
      <c r="F711" s="2">
        <v>45785</v>
      </c>
      <c r="G711" t="s">
        <v>13</v>
      </c>
      <c r="H711" t="s">
        <v>14</v>
      </c>
      <c r="I711" s="3">
        <v>21413.919999999998</v>
      </c>
      <c r="J711" t="s">
        <v>15</v>
      </c>
      <c r="K711" s="4">
        <v>0.8</v>
      </c>
      <c r="L711" s="3">
        <f t="shared" si="44"/>
        <v>17131.135999999999</v>
      </c>
      <c r="M711" s="3">
        <f t="shared" si="45"/>
        <v>4282.7839999999987</v>
      </c>
      <c r="N711">
        <f t="shared" si="46"/>
        <v>8</v>
      </c>
      <c r="O711" s="3">
        <f t="shared" si="47"/>
        <v>21413.919999999998</v>
      </c>
      <c r="P711" t="str" cm="1">
        <f t="array" ref="P711">_xlfn.IFS(C711&lt;18, "Under 18", C711&lt;36, "Btw 18&amp;35", C711&lt;51, "Btw 36&amp;50", C711&lt;66, "Btw 51&amp;65", C711&gt;=66," 66&amp;Above")</f>
        <v xml:space="preserve"> 66&amp;Above</v>
      </c>
    </row>
    <row r="712" spans="1:16">
      <c r="A712" t="s">
        <v>1313</v>
      </c>
      <c r="B712" t="s">
        <v>1210</v>
      </c>
      <c r="C712">
        <v>56</v>
      </c>
      <c r="D712" t="s">
        <v>18</v>
      </c>
      <c r="E712" s="2">
        <v>45654</v>
      </c>
      <c r="F712" s="2">
        <v>45656</v>
      </c>
      <c r="G712" t="s">
        <v>23</v>
      </c>
      <c r="H712" t="s">
        <v>221</v>
      </c>
      <c r="I712" s="3">
        <v>4020.17</v>
      </c>
      <c r="J712" t="s">
        <v>25</v>
      </c>
      <c r="K712" s="4">
        <v>0.8</v>
      </c>
      <c r="L712" s="3">
        <f t="shared" si="44"/>
        <v>3216.1360000000004</v>
      </c>
      <c r="M712" s="3">
        <f t="shared" si="45"/>
        <v>804.03399999999988</v>
      </c>
      <c r="N712">
        <f t="shared" si="46"/>
        <v>2</v>
      </c>
      <c r="O712" s="3">
        <f t="shared" si="47"/>
        <v>0</v>
      </c>
      <c r="P712" t="str" cm="1">
        <f t="array" ref="P712">_xlfn.IFS(C712&lt;18, "Under 18", C712&lt;36, "Btw 18&amp;35", C712&lt;51, "Btw 36&amp;50", C712&lt;66, "Btw 51&amp;65", C712&gt;=66," 66&amp;Above")</f>
        <v>Btw 51&amp;65</v>
      </c>
    </row>
    <row r="713" spans="1:16">
      <c r="A713" t="s">
        <v>1314</v>
      </c>
      <c r="B713" t="s">
        <v>1315</v>
      </c>
      <c r="C713">
        <v>66</v>
      </c>
      <c r="D713" t="s">
        <v>18</v>
      </c>
      <c r="E713" s="2">
        <v>45465</v>
      </c>
      <c r="F713" s="2">
        <v>45477</v>
      </c>
      <c r="G713" t="s">
        <v>60</v>
      </c>
      <c r="H713" t="s">
        <v>77</v>
      </c>
      <c r="I713" s="3">
        <v>28053.05</v>
      </c>
      <c r="J713" t="s">
        <v>15</v>
      </c>
      <c r="K713" s="4">
        <v>0.8</v>
      </c>
      <c r="L713" s="3">
        <f t="shared" si="44"/>
        <v>22442.440000000002</v>
      </c>
      <c r="M713" s="3">
        <f t="shared" si="45"/>
        <v>5610.6099999999988</v>
      </c>
      <c r="N713">
        <f t="shared" si="46"/>
        <v>12</v>
      </c>
      <c r="O713" s="3">
        <f t="shared" si="47"/>
        <v>28053.05</v>
      </c>
      <c r="P713" t="str" cm="1">
        <f t="array" ref="P713">_xlfn.IFS(C713&lt;18, "Under 18", C713&lt;36, "Btw 18&amp;35", C713&lt;51, "Btw 36&amp;50", C713&lt;66, "Btw 51&amp;65", C713&gt;=66," 66&amp;Above")</f>
        <v xml:space="preserve"> 66&amp;Above</v>
      </c>
    </row>
    <row r="714" spans="1:16">
      <c r="A714" t="s">
        <v>1316</v>
      </c>
      <c r="B714" t="s">
        <v>594</v>
      </c>
      <c r="C714">
        <v>34</v>
      </c>
      <c r="D714" t="s">
        <v>18</v>
      </c>
      <c r="E714" s="2">
        <v>45558</v>
      </c>
      <c r="F714" s="2">
        <v>45569</v>
      </c>
      <c r="G714" t="s">
        <v>70</v>
      </c>
      <c r="H714" t="s">
        <v>295</v>
      </c>
      <c r="I714" s="3">
        <v>23948.97</v>
      </c>
      <c r="J714" t="s">
        <v>15</v>
      </c>
      <c r="K714" s="4">
        <v>1</v>
      </c>
      <c r="L714" s="3">
        <f t="shared" si="44"/>
        <v>23948.97</v>
      </c>
      <c r="M714" s="3">
        <f t="shared" si="45"/>
        <v>0</v>
      </c>
      <c r="N714">
        <f t="shared" si="46"/>
        <v>11</v>
      </c>
      <c r="O714" s="3">
        <f t="shared" si="47"/>
        <v>23948.97</v>
      </c>
      <c r="P714" t="str" cm="1">
        <f t="array" ref="P714">_xlfn.IFS(C714&lt;18, "Under 18", C714&lt;36, "Btw 18&amp;35", C714&lt;51, "Btw 36&amp;50", C714&lt;66, "Btw 51&amp;65", C714&gt;=66," 66&amp;Above")</f>
        <v>Btw 18&amp;35</v>
      </c>
    </row>
    <row r="715" spans="1:16">
      <c r="A715" t="s">
        <v>1317</v>
      </c>
      <c r="B715" t="s">
        <v>1318</v>
      </c>
      <c r="C715">
        <v>84</v>
      </c>
      <c r="D715" t="s">
        <v>12</v>
      </c>
      <c r="E715" s="2">
        <v>45741</v>
      </c>
      <c r="F715" s="2">
        <v>45750</v>
      </c>
      <c r="G715" t="s">
        <v>13</v>
      </c>
      <c r="H715" t="s">
        <v>102</v>
      </c>
      <c r="I715" s="3">
        <v>23623.51</v>
      </c>
      <c r="J715" t="s">
        <v>20</v>
      </c>
      <c r="K715" s="4">
        <v>0.9</v>
      </c>
      <c r="L715" s="3">
        <f t="shared" si="44"/>
        <v>21261.159</v>
      </c>
      <c r="M715" s="3">
        <f t="shared" si="45"/>
        <v>2362.3509999999992</v>
      </c>
      <c r="N715">
        <f t="shared" si="46"/>
        <v>9</v>
      </c>
      <c r="O715" s="3">
        <f t="shared" si="47"/>
        <v>0</v>
      </c>
      <c r="P715" t="str" cm="1">
        <f t="array" ref="P715">_xlfn.IFS(C715&lt;18, "Under 18", C715&lt;36, "Btw 18&amp;35", C715&lt;51, "Btw 36&amp;50", C715&lt;66, "Btw 51&amp;65", C715&gt;=66," 66&amp;Above")</f>
        <v xml:space="preserve"> 66&amp;Above</v>
      </c>
    </row>
    <row r="716" spans="1:16">
      <c r="A716" t="s">
        <v>1319</v>
      </c>
      <c r="B716" t="s">
        <v>1320</v>
      </c>
      <c r="C716">
        <v>34</v>
      </c>
      <c r="D716" t="s">
        <v>12</v>
      </c>
      <c r="E716" s="2">
        <v>45894</v>
      </c>
      <c r="F716" s="2">
        <v>45900</v>
      </c>
      <c r="G716" t="s">
        <v>70</v>
      </c>
      <c r="H716" t="s">
        <v>237</v>
      </c>
      <c r="I716" s="3">
        <v>10445.299999999999</v>
      </c>
      <c r="J716" t="s">
        <v>25</v>
      </c>
      <c r="K716" s="4">
        <v>0.6</v>
      </c>
      <c r="L716" s="3">
        <f t="shared" si="44"/>
        <v>6267.1799999999994</v>
      </c>
      <c r="M716" s="3">
        <f t="shared" si="45"/>
        <v>4178.12</v>
      </c>
      <c r="N716">
        <f t="shared" si="46"/>
        <v>6</v>
      </c>
      <c r="O716" s="3">
        <f t="shared" si="47"/>
        <v>0</v>
      </c>
      <c r="P716" t="str" cm="1">
        <f t="array" ref="P716">_xlfn.IFS(C716&lt;18, "Under 18", C716&lt;36, "Btw 18&amp;35", C716&lt;51, "Btw 36&amp;50", C716&lt;66, "Btw 51&amp;65", C716&gt;=66," 66&amp;Above")</f>
        <v>Btw 18&amp;35</v>
      </c>
    </row>
    <row r="717" spans="1:16">
      <c r="A717" t="s">
        <v>1321</v>
      </c>
      <c r="B717" t="s">
        <v>1322</v>
      </c>
      <c r="C717">
        <v>51</v>
      </c>
      <c r="D717" t="s">
        <v>12</v>
      </c>
      <c r="E717" s="2">
        <v>45891</v>
      </c>
      <c r="F717" s="2">
        <v>45898</v>
      </c>
      <c r="G717" t="s">
        <v>60</v>
      </c>
      <c r="H717" t="s">
        <v>74</v>
      </c>
      <c r="I717" s="3">
        <v>19007.18</v>
      </c>
      <c r="J717" t="s">
        <v>15</v>
      </c>
      <c r="K717" s="4">
        <v>0.7</v>
      </c>
      <c r="L717" s="3">
        <f t="shared" si="44"/>
        <v>13305.026</v>
      </c>
      <c r="M717" s="3">
        <f t="shared" si="45"/>
        <v>5702.1540000000014</v>
      </c>
      <c r="N717">
        <f t="shared" si="46"/>
        <v>7</v>
      </c>
      <c r="O717" s="3">
        <f t="shared" si="47"/>
        <v>19007.18</v>
      </c>
      <c r="P717" t="str" cm="1">
        <f t="array" ref="P717">_xlfn.IFS(C717&lt;18, "Under 18", C717&lt;36, "Btw 18&amp;35", C717&lt;51, "Btw 36&amp;50", C717&lt;66, "Btw 51&amp;65", C717&gt;=66," 66&amp;Above")</f>
        <v>Btw 51&amp;65</v>
      </c>
    </row>
    <row r="718" spans="1:16">
      <c r="A718" t="s">
        <v>1323</v>
      </c>
      <c r="B718" t="s">
        <v>358</v>
      </c>
      <c r="C718">
        <v>43</v>
      </c>
      <c r="D718" t="s">
        <v>12</v>
      </c>
      <c r="E718" s="2">
        <v>45790</v>
      </c>
      <c r="F718" s="2">
        <v>45793</v>
      </c>
      <c r="G718" t="s">
        <v>23</v>
      </c>
      <c r="H718" t="s">
        <v>24</v>
      </c>
      <c r="I718" s="3">
        <v>2458.7600000000002</v>
      </c>
      <c r="J718" t="s">
        <v>15</v>
      </c>
      <c r="K718" s="4">
        <v>0.9</v>
      </c>
      <c r="L718" s="3">
        <f t="shared" si="44"/>
        <v>2212.8840000000005</v>
      </c>
      <c r="M718" s="3">
        <f t="shared" si="45"/>
        <v>245.87599999999998</v>
      </c>
      <c r="N718">
        <f t="shared" si="46"/>
        <v>3</v>
      </c>
      <c r="O718" s="3">
        <f t="shared" si="47"/>
        <v>2458.7600000000002</v>
      </c>
      <c r="P718" t="str" cm="1">
        <f t="array" ref="P718">_xlfn.IFS(C718&lt;18, "Under 18", C718&lt;36, "Btw 18&amp;35", C718&lt;51, "Btw 36&amp;50", C718&lt;66, "Btw 51&amp;65", C718&gt;=66," 66&amp;Above")</f>
        <v>Btw 36&amp;50</v>
      </c>
    </row>
    <row r="719" spans="1:16">
      <c r="A719" t="s">
        <v>1324</v>
      </c>
      <c r="B719" t="s">
        <v>1325</v>
      </c>
      <c r="C719">
        <v>32</v>
      </c>
      <c r="D719" t="s">
        <v>12</v>
      </c>
      <c r="E719" s="2">
        <v>45678</v>
      </c>
      <c r="F719" s="2">
        <v>45686</v>
      </c>
      <c r="G719" t="s">
        <v>60</v>
      </c>
      <c r="H719" t="s">
        <v>142</v>
      </c>
      <c r="I719" s="3">
        <v>14632.49</v>
      </c>
      <c r="J719" t="s">
        <v>25</v>
      </c>
      <c r="K719" s="4">
        <v>0.6</v>
      </c>
      <c r="L719" s="3">
        <f t="shared" si="44"/>
        <v>8779.4939999999988</v>
      </c>
      <c r="M719" s="3">
        <f t="shared" si="45"/>
        <v>5852.9960000000001</v>
      </c>
      <c r="N719">
        <f t="shared" si="46"/>
        <v>8</v>
      </c>
      <c r="O719" s="3">
        <f t="shared" si="47"/>
        <v>0</v>
      </c>
      <c r="P719" t="str" cm="1">
        <f t="array" ref="P719">_xlfn.IFS(C719&lt;18, "Under 18", C719&lt;36, "Btw 18&amp;35", C719&lt;51, "Btw 36&amp;50", C719&lt;66, "Btw 51&amp;65", C719&gt;=66," 66&amp;Above")</f>
        <v>Btw 18&amp;35</v>
      </c>
    </row>
    <row r="720" spans="1:16">
      <c r="A720" t="s">
        <v>1326</v>
      </c>
      <c r="B720" t="s">
        <v>919</v>
      </c>
      <c r="C720">
        <v>34</v>
      </c>
      <c r="D720" t="s">
        <v>18</v>
      </c>
      <c r="E720" s="2">
        <v>45740</v>
      </c>
      <c r="F720" s="2">
        <v>45745</v>
      </c>
      <c r="G720" t="s">
        <v>31</v>
      </c>
      <c r="H720" t="s">
        <v>53</v>
      </c>
      <c r="I720" s="3">
        <v>2891.81</v>
      </c>
      <c r="J720" t="s">
        <v>15</v>
      </c>
      <c r="K720" s="4">
        <v>0.8</v>
      </c>
      <c r="L720" s="3">
        <f t="shared" si="44"/>
        <v>2313.4479999999999</v>
      </c>
      <c r="M720" s="3">
        <f t="shared" si="45"/>
        <v>578.36199999999985</v>
      </c>
      <c r="N720">
        <f t="shared" si="46"/>
        <v>5</v>
      </c>
      <c r="O720" s="3">
        <f t="shared" si="47"/>
        <v>2891.81</v>
      </c>
      <c r="P720" t="str" cm="1">
        <f t="array" ref="P720">_xlfn.IFS(C720&lt;18, "Under 18", C720&lt;36, "Btw 18&amp;35", C720&lt;51, "Btw 36&amp;50", C720&lt;66, "Btw 51&amp;65", C720&gt;=66," 66&amp;Above")</f>
        <v>Btw 18&amp;35</v>
      </c>
    </row>
    <row r="721" spans="1:16">
      <c r="A721" t="s">
        <v>1327</v>
      </c>
      <c r="B721" t="s">
        <v>870</v>
      </c>
      <c r="C721">
        <v>54</v>
      </c>
      <c r="D721" t="s">
        <v>18</v>
      </c>
      <c r="E721" s="2">
        <v>45551</v>
      </c>
      <c r="F721" s="2">
        <v>45554</v>
      </c>
      <c r="G721" t="s">
        <v>13</v>
      </c>
      <c r="H721" t="s">
        <v>111</v>
      </c>
      <c r="I721" s="3">
        <v>8029.13</v>
      </c>
      <c r="J721" t="s">
        <v>20</v>
      </c>
      <c r="K721" s="4">
        <v>0.8</v>
      </c>
      <c r="L721" s="3">
        <f t="shared" si="44"/>
        <v>6423.3040000000001</v>
      </c>
      <c r="M721" s="3">
        <f t="shared" si="45"/>
        <v>1605.8259999999996</v>
      </c>
      <c r="N721">
        <f t="shared" si="46"/>
        <v>3</v>
      </c>
      <c r="O721" s="3">
        <f t="shared" si="47"/>
        <v>0</v>
      </c>
      <c r="P721" t="str" cm="1">
        <f t="array" ref="P721">_xlfn.IFS(C721&lt;18, "Under 18", C721&lt;36, "Btw 18&amp;35", C721&lt;51, "Btw 36&amp;50", C721&lt;66, "Btw 51&amp;65", C721&gt;=66," 66&amp;Above")</f>
        <v>Btw 51&amp;65</v>
      </c>
    </row>
    <row r="722" spans="1:16">
      <c r="A722" t="s">
        <v>1328</v>
      </c>
      <c r="B722" t="s">
        <v>1329</v>
      </c>
      <c r="C722">
        <v>45</v>
      </c>
      <c r="D722" t="s">
        <v>12</v>
      </c>
      <c r="E722" s="2">
        <v>45973</v>
      </c>
      <c r="F722" s="2">
        <v>45974</v>
      </c>
      <c r="G722" t="s">
        <v>31</v>
      </c>
      <c r="H722" t="s">
        <v>35</v>
      </c>
      <c r="I722" s="3">
        <v>858.67</v>
      </c>
      <c r="J722" t="s">
        <v>15</v>
      </c>
      <c r="K722" s="4">
        <v>0.8</v>
      </c>
      <c r="L722" s="3">
        <f t="shared" si="44"/>
        <v>686.93600000000004</v>
      </c>
      <c r="M722" s="3">
        <f t="shared" si="45"/>
        <v>171.73399999999995</v>
      </c>
      <c r="N722">
        <f t="shared" si="46"/>
        <v>1</v>
      </c>
      <c r="O722" s="3">
        <f t="shared" si="47"/>
        <v>858.67</v>
      </c>
      <c r="P722" t="str" cm="1">
        <f t="array" ref="P722">_xlfn.IFS(C722&lt;18, "Under 18", C722&lt;36, "Btw 18&amp;35", C722&lt;51, "Btw 36&amp;50", C722&lt;66, "Btw 51&amp;65", C722&gt;=66," 66&amp;Above")</f>
        <v>Btw 36&amp;50</v>
      </c>
    </row>
    <row r="723" spans="1:16">
      <c r="A723" t="s">
        <v>1330</v>
      </c>
      <c r="B723" t="s">
        <v>1331</v>
      </c>
      <c r="C723">
        <v>16</v>
      </c>
      <c r="D723" t="s">
        <v>12</v>
      </c>
      <c r="E723" s="2">
        <v>45978</v>
      </c>
      <c r="F723" s="2">
        <v>45980</v>
      </c>
      <c r="G723" t="s">
        <v>49</v>
      </c>
      <c r="H723" t="s">
        <v>378</v>
      </c>
      <c r="I723" s="3">
        <v>3460.07</v>
      </c>
      <c r="J723" t="s">
        <v>20</v>
      </c>
      <c r="K723" s="4">
        <v>1</v>
      </c>
      <c r="L723" s="3">
        <f t="shared" si="44"/>
        <v>3460.07</v>
      </c>
      <c r="M723" s="3">
        <f t="shared" si="45"/>
        <v>0</v>
      </c>
      <c r="N723">
        <f t="shared" si="46"/>
        <v>2</v>
      </c>
      <c r="O723" s="3">
        <f t="shared" si="47"/>
        <v>0</v>
      </c>
      <c r="P723" t="str" cm="1">
        <f t="array" ref="P723">_xlfn.IFS(C723&lt;18, "Under 18", C723&lt;36, "Btw 18&amp;35", C723&lt;51, "Btw 36&amp;50", C723&lt;66, "Btw 51&amp;65", C723&gt;=66," 66&amp;Above")</f>
        <v>Under 18</v>
      </c>
    </row>
    <row r="724" spans="1:16">
      <c r="A724" t="s">
        <v>1332</v>
      </c>
      <c r="B724" t="s">
        <v>1333</v>
      </c>
      <c r="C724">
        <v>48</v>
      </c>
      <c r="D724" t="s">
        <v>12</v>
      </c>
      <c r="E724" s="2">
        <v>45879</v>
      </c>
      <c r="F724" s="2">
        <v>45886</v>
      </c>
      <c r="G724" t="s">
        <v>31</v>
      </c>
      <c r="H724" t="s">
        <v>87</v>
      </c>
      <c r="I724" s="3">
        <v>7776.12</v>
      </c>
      <c r="J724" t="s">
        <v>20</v>
      </c>
      <c r="K724" s="4">
        <v>0.6</v>
      </c>
      <c r="L724" s="3">
        <f t="shared" si="44"/>
        <v>4665.6719999999996</v>
      </c>
      <c r="M724" s="3">
        <f t="shared" si="45"/>
        <v>3110.4480000000003</v>
      </c>
      <c r="N724">
        <f t="shared" si="46"/>
        <v>7</v>
      </c>
      <c r="O724" s="3">
        <f t="shared" si="47"/>
        <v>0</v>
      </c>
      <c r="P724" t="str" cm="1">
        <f t="array" ref="P724">_xlfn.IFS(C724&lt;18, "Under 18", C724&lt;36, "Btw 18&amp;35", C724&lt;51, "Btw 36&amp;50", C724&lt;66, "Btw 51&amp;65", C724&gt;=66," 66&amp;Above")</f>
        <v>Btw 36&amp;50</v>
      </c>
    </row>
    <row r="725" spans="1:16">
      <c r="A725" t="s">
        <v>1334</v>
      </c>
      <c r="B725" t="s">
        <v>651</v>
      </c>
      <c r="C725">
        <v>69</v>
      </c>
      <c r="D725" t="s">
        <v>12</v>
      </c>
      <c r="E725" s="2">
        <v>45410</v>
      </c>
      <c r="F725" s="2">
        <v>45412</v>
      </c>
      <c r="G725" t="s">
        <v>23</v>
      </c>
      <c r="H725" t="s">
        <v>28</v>
      </c>
      <c r="I725" s="3">
        <v>4547.8500000000004</v>
      </c>
      <c r="J725" t="s">
        <v>25</v>
      </c>
      <c r="K725" s="4">
        <v>0.7</v>
      </c>
      <c r="L725" s="3">
        <f t="shared" si="44"/>
        <v>3183.4949999999999</v>
      </c>
      <c r="M725" s="3">
        <f t="shared" si="45"/>
        <v>1364.3550000000002</v>
      </c>
      <c r="N725">
        <f t="shared" si="46"/>
        <v>2</v>
      </c>
      <c r="O725" s="3">
        <f t="shared" si="47"/>
        <v>0</v>
      </c>
      <c r="P725" t="str" cm="1">
        <f t="array" ref="P725">_xlfn.IFS(C725&lt;18, "Under 18", C725&lt;36, "Btw 18&amp;35", C725&lt;51, "Btw 36&amp;50", C725&lt;66, "Btw 51&amp;65", C725&gt;=66," 66&amp;Above")</f>
        <v xml:space="preserve"> 66&amp;Above</v>
      </c>
    </row>
    <row r="726" spans="1:16">
      <c r="A726" t="s">
        <v>1335</v>
      </c>
      <c r="B726" t="s">
        <v>1336</v>
      </c>
      <c r="C726">
        <v>68</v>
      </c>
      <c r="D726" t="s">
        <v>18</v>
      </c>
      <c r="E726" s="2">
        <v>45395</v>
      </c>
      <c r="F726" s="2">
        <v>45400</v>
      </c>
      <c r="G726" t="s">
        <v>13</v>
      </c>
      <c r="H726" t="s">
        <v>38</v>
      </c>
      <c r="I726" s="3">
        <v>11509.91</v>
      </c>
      <c r="J726" t="s">
        <v>20</v>
      </c>
      <c r="K726" s="4">
        <v>0</v>
      </c>
      <c r="L726" s="3">
        <f t="shared" si="44"/>
        <v>0</v>
      </c>
      <c r="M726" s="3">
        <f t="shared" si="45"/>
        <v>11509.91</v>
      </c>
      <c r="N726">
        <f t="shared" si="46"/>
        <v>5</v>
      </c>
      <c r="O726" s="3">
        <f t="shared" si="47"/>
        <v>0</v>
      </c>
      <c r="P726" t="str" cm="1">
        <f t="array" ref="P726">_xlfn.IFS(C726&lt;18, "Under 18", C726&lt;36, "Btw 18&amp;35", C726&lt;51, "Btw 36&amp;50", C726&lt;66, "Btw 51&amp;65", C726&gt;=66," 66&amp;Above")</f>
        <v xml:space="preserve"> 66&amp;Above</v>
      </c>
    </row>
    <row r="727" spans="1:16">
      <c r="A727" t="s">
        <v>1337</v>
      </c>
      <c r="B727" t="s">
        <v>335</v>
      </c>
      <c r="C727">
        <v>22</v>
      </c>
      <c r="D727" t="s">
        <v>18</v>
      </c>
      <c r="E727" s="2">
        <v>45453</v>
      </c>
      <c r="F727" s="2">
        <v>45456</v>
      </c>
      <c r="G727" t="s">
        <v>23</v>
      </c>
      <c r="H727" t="s">
        <v>221</v>
      </c>
      <c r="I727" s="3">
        <v>2402.42</v>
      </c>
      <c r="J727" t="s">
        <v>15</v>
      </c>
      <c r="K727" s="4">
        <v>1</v>
      </c>
      <c r="L727" s="3">
        <f t="shared" si="44"/>
        <v>2402.42</v>
      </c>
      <c r="M727" s="3">
        <f t="shared" si="45"/>
        <v>0</v>
      </c>
      <c r="N727">
        <f t="shared" si="46"/>
        <v>3</v>
      </c>
      <c r="O727" s="3">
        <f t="shared" si="47"/>
        <v>2402.42</v>
      </c>
      <c r="P727" t="str" cm="1">
        <f t="array" ref="P727">_xlfn.IFS(C727&lt;18, "Under 18", C727&lt;36, "Btw 18&amp;35", C727&lt;51, "Btw 36&amp;50", C727&lt;66, "Btw 51&amp;65", C727&gt;=66," 66&amp;Above")</f>
        <v>Btw 18&amp;35</v>
      </c>
    </row>
    <row r="728" spans="1:16">
      <c r="A728" t="s">
        <v>1338</v>
      </c>
      <c r="B728" t="s">
        <v>1339</v>
      </c>
      <c r="C728">
        <v>15</v>
      </c>
      <c r="D728" t="s">
        <v>12</v>
      </c>
      <c r="E728" s="2">
        <v>45352</v>
      </c>
      <c r="F728" s="2">
        <v>45356</v>
      </c>
      <c r="G728" t="s">
        <v>49</v>
      </c>
      <c r="H728" t="s">
        <v>50</v>
      </c>
      <c r="I728" s="3">
        <v>4108.03</v>
      </c>
      <c r="J728" t="s">
        <v>15</v>
      </c>
      <c r="K728" s="4">
        <v>0.8</v>
      </c>
      <c r="L728" s="3">
        <f t="shared" si="44"/>
        <v>3286.424</v>
      </c>
      <c r="M728" s="3">
        <f t="shared" si="45"/>
        <v>821.60599999999977</v>
      </c>
      <c r="N728">
        <f t="shared" si="46"/>
        <v>4</v>
      </c>
      <c r="O728" s="3">
        <f t="shared" si="47"/>
        <v>4108.03</v>
      </c>
      <c r="P728" t="str" cm="1">
        <f t="array" ref="P728">_xlfn.IFS(C728&lt;18, "Under 18", C728&lt;36, "Btw 18&amp;35", C728&lt;51, "Btw 36&amp;50", C728&lt;66, "Btw 51&amp;65", C728&gt;=66," 66&amp;Above")</f>
        <v>Under 18</v>
      </c>
    </row>
    <row r="729" spans="1:16">
      <c r="A729" t="s">
        <v>1340</v>
      </c>
      <c r="B729" t="s">
        <v>1341</v>
      </c>
      <c r="C729">
        <v>48</v>
      </c>
      <c r="D729" t="s">
        <v>18</v>
      </c>
      <c r="E729" s="2">
        <v>45674</v>
      </c>
      <c r="F729" s="2">
        <v>45680</v>
      </c>
      <c r="G729" t="s">
        <v>31</v>
      </c>
      <c r="H729" t="s">
        <v>87</v>
      </c>
      <c r="I729" s="3">
        <v>3552.94</v>
      </c>
      <c r="J729" t="s">
        <v>20</v>
      </c>
      <c r="K729" s="4">
        <v>0.8</v>
      </c>
      <c r="L729" s="3">
        <f t="shared" si="44"/>
        <v>2842.3520000000003</v>
      </c>
      <c r="M729" s="3">
        <f t="shared" si="45"/>
        <v>710.58799999999985</v>
      </c>
      <c r="N729">
        <f t="shared" si="46"/>
        <v>6</v>
      </c>
      <c r="O729" s="3">
        <f t="shared" si="47"/>
        <v>0</v>
      </c>
      <c r="P729" t="str" cm="1">
        <f t="array" ref="P729">_xlfn.IFS(C729&lt;18, "Under 18", C729&lt;36, "Btw 18&amp;35", C729&lt;51, "Btw 36&amp;50", C729&lt;66, "Btw 51&amp;65", C729&gt;=66," 66&amp;Above")</f>
        <v>Btw 36&amp;50</v>
      </c>
    </row>
    <row r="730" spans="1:16">
      <c r="A730" t="s">
        <v>1342</v>
      </c>
      <c r="B730" t="s">
        <v>721</v>
      </c>
      <c r="C730">
        <v>85</v>
      </c>
      <c r="D730" t="s">
        <v>18</v>
      </c>
      <c r="E730" s="2">
        <v>45521</v>
      </c>
      <c r="F730" s="2">
        <v>45524</v>
      </c>
      <c r="G730" t="s">
        <v>23</v>
      </c>
      <c r="H730" t="s">
        <v>41</v>
      </c>
      <c r="I730" s="3">
        <v>2872.72</v>
      </c>
      <c r="J730" t="s">
        <v>20</v>
      </c>
      <c r="K730" s="4">
        <v>0.5</v>
      </c>
      <c r="L730" s="3">
        <f t="shared" si="44"/>
        <v>1436.36</v>
      </c>
      <c r="M730" s="3">
        <f t="shared" si="45"/>
        <v>1436.36</v>
      </c>
      <c r="N730">
        <f t="shared" si="46"/>
        <v>3</v>
      </c>
      <c r="O730" s="3">
        <f t="shared" si="47"/>
        <v>0</v>
      </c>
      <c r="P730" t="str" cm="1">
        <f t="array" ref="P730">_xlfn.IFS(C730&lt;18, "Under 18", C730&lt;36, "Btw 18&amp;35", C730&lt;51, "Btw 36&amp;50", C730&lt;66, "Btw 51&amp;65", C730&gt;=66," 66&amp;Above")</f>
        <v xml:space="preserve"> 66&amp;Above</v>
      </c>
    </row>
    <row r="731" spans="1:16">
      <c r="A731" t="s">
        <v>1343</v>
      </c>
      <c r="B731" t="s">
        <v>1344</v>
      </c>
      <c r="C731">
        <v>49</v>
      </c>
      <c r="D731" t="s">
        <v>12</v>
      </c>
      <c r="E731" s="2">
        <v>45608</v>
      </c>
      <c r="F731" s="2">
        <v>45616</v>
      </c>
      <c r="G731" t="s">
        <v>60</v>
      </c>
      <c r="H731" t="s">
        <v>61</v>
      </c>
      <c r="I731" s="3">
        <v>8897.51</v>
      </c>
      <c r="J731" t="s">
        <v>15</v>
      </c>
      <c r="K731" s="4">
        <v>0.8</v>
      </c>
      <c r="L731" s="3">
        <f t="shared" si="44"/>
        <v>7118.0080000000007</v>
      </c>
      <c r="M731" s="3">
        <f t="shared" si="45"/>
        <v>1779.5019999999997</v>
      </c>
      <c r="N731">
        <f t="shared" si="46"/>
        <v>8</v>
      </c>
      <c r="O731" s="3">
        <f t="shared" si="47"/>
        <v>8897.51</v>
      </c>
      <c r="P731" t="str" cm="1">
        <f t="array" ref="P731">_xlfn.IFS(C731&lt;18, "Under 18", C731&lt;36, "Btw 18&amp;35", C731&lt;51, "Btw 36&amp;50", C731&lt;66, "Btw 51&amp;65", C731&gt;=66," 66&amp;Above")</f>
        <v>Btw 36&amp;50</v>
      </c>
    </row>
    <row r="732" spans="1:16">
      <c r="A732" t="s">
        <v>1345</v>
      </c>
      <c r="B732" t="s">
        <v>762</v>
      </c>
      <c r="C732">
        <v>10</v>
      </c>
      <c r="D732" t="s">
        <v>18</v>
      </c>
      <c r="E732" s="2">
        <v>45407</v>
      </c>
      <c r="F732" s="2">
        <v>45410</v>
      </c>
      <c r="G732" t="s">
        <v>49</v>
      </c>
      <c r="H732" t="s">
        <v>123</v>
      </c>
      <c r="I732" s="3">
        <v>3469.08</v>
      </c>
      <c r="J732" t="s">
        <v>15</v>
      </c>
      <c r="K732" s="4">
        <v>0.8</v>
      </c>
      <c r="L732" s="3">
        <f t="shared" si="44"/>
        <v>2775.2640000000001</v>
      </c>
      <c r="M732" s="3">
        <f t="shared" si="45"/>
        <v>693.8159999999998</v>
      </c>
      <c r="N732">
        <f t="shared" si="46"/>
        <v>3</v>
      </c>
      <c r="O732" s="3">
        <f t="shared" si="47"/>
        <v>3469.08</v>
      </c>
      <c r="P732" t="str" cm="1">
        <f t="array" ref="P732">_xlfn.IFS(C732&lt;18, "Under 18", C732&lt;36, "Btw 18&amp;35", C732&lt;51, "Btw 36&amp;50", C732&lt;66, "Btw 51&amp;65", C732&gt;=66," 66&amp;Above")</f>
        <v>Under 18</v>
      </c>
    </row>
    <row r="733" spans="1:16">
      <c r="A733" t="s">
        <v>1346</v>
      </c>
      <c r="B733" t="s">
        <v>1347</v>
      </c>
      <c r="C733">
        <v>47</v>
      </c>
      <c r="D733" t="s">
        <v>12</v>
      </c>
      <c r="E733" s="2">
        <v>45300</v>
      </c>
      <c r="F733" s="2">
        <v>45306</v>
      </c>
      <c r="G733" t="s">
        <v>13</v>
      </c>
      <c r="H733" t="s">
        <v>19</v>
      </c>
      <c r="I733" s="3">
        <v>8778.52</v>
      </c>
      <c r="J733" t="s">
        <v>20</v>
      </c>
      <c r="K733" s="4">
        <v>0.8</v>
      </c>
      <c r="L733" s="3">
        <f t="shared" si="44"/>
        <v>7022.8160000000007</v>
      </c>
      <c r="M733" s="3">
        <f t="shared" si="45"/>
        <v>1755.7039999999997</v>
      </c>
      <c r="N733">
        <f t="shared" si="46"/>
        <v>6</v>
      </c>
      <c r="O733" s="3">
        <f t="shared" si="47"/>
        <v>0</v>
      </c>
      <c r="P733" t="str" cm="1">
        <f t="array" ref="P733">_xlfn.IFS(C733&lt;18, "Under 18", C733&lt;36, "Btw 18&amp;35", C733&lt;51, "Btw 36&amp;50", C733&lt;66, "Btw 51&amp;65", C733&gt;=66," 66&amp;Above")</f>
        <v>Btw 36&amp;50</v>
      </c>
    </row>
    <row r="734" spans="1:16">
      <c r="A734" t="s">
        <v>1348</v>
      </c>
      <c r="B734" t="s">
        <v>647</v>
      </c>
      <c r="C734">
        <v>66</v>
      </c>
      <c r="D734" t="s">
        <v>12</v>
      </c>
      <c r="E734" s="2">
        <v>45449</v>
      </c>
      <c r="F734" s="2">
        <v>45463</v>
      </c>
      <c r="G734" t="s">
        <v>60</v>
      </c>
      <c r="H734" t="s">
        <v>133</v>
      </c>
      <c r="I734" s="3">
        <v>38501.9</v>
      </c>
      <c r="J734" t="s">
        <v>15</v>
      </c>
      <c r="K734" s="4">
        <v>0.8</v>
      </c>
      <c r="L734" s="3">
        <f t="shared" si="44"/>
        <v>30801.520000000004</v>
      </c>
      <c r="M734" s="3">
        <f t="shared" si="45"/>
        <v>7700.3799999999983</v>
      </c>
      <c r="N734">
        <f t="shared" si="46"/>
        <v>14</v>
      </c>
      <c r="O734" s="3">
        <f t="shared" si="47"/>
        <v>38501.9</v>
      </c>
      <c r="P734" t="str" cm="1">
        <f t="array" ref="P734">_xlfn.IFS(C734&lt;18, "Under 18", C734&lt;36, "Btw 18&amp;35", C734&lt;51, "Btw 36&amp;50", C734&lt;66, "Btw 51&amp;65", C734&gt;=66," 66&amp;Above")</f>
        <v xml:space="preserve"> 66&amp;Above</v>
      </c>
    </row>
    <row r="735" spans="1:16">
      <c r="A735" t="s">
        <v>1349</v>
      </c>
      <c r="B735" t="s">
        <v>352</v>
      </c>
      <c r="C735">
        <v>43</v>
      </c>
      <c r="D735" t="s">
        <v>12</v>
      </c>
      <c r="E735" s="2">
        <v>46016</v>
      </c>
      <c r="F735" s="2">
        <v>46018</v>
      </c>
      <c r="G735" t="s">
        <v>31</v>
      </c>
      <c r="H735" t="s">
        <v>234</v>
      </c>
      <c r="I735" s="3">
        <v>1693.89</v>
      </c>
      <c r="J735" t="s">
        <v>15</v>
      </c>
      <c r="K735" s="4">
        <v>0.8</v>
      </c>
      <c r="L735" s="3">
        <f t="shared" si="44"/>
        <v>1355.1120000000001</v>
      </c>
      <c r="M735" s="3">
        <f t="shared" si="45"/>
        <v>338.77799999999996</v>
      </c>
      <c r="N735">
        <f t="shared" si="46"/>
        <v>2</v>
      </c>
      <c r="O735" s="3">
        <f t="shared" si="47"/>
        <v>1693.89</v>
      </c>
      <c r="P735" t="str" cm="1">
        <f t="array" ref="P735">_xlfn.IFS(C735&lt;18, "Under 18", C735&lt;36, "Btw 18&amp;35", C735&lt;51, "Btw 36&amp;50", C735&lt;66, "Btw 51&amp;65", C735&gt;=66," 66&amp;Above")</f>
        <v>Btw 36&amp;50</v>
      </c>
    </row>
    <row r="736" spans="1:16">
      <c r="A736" t="s">
        <v>1350</v>
      </c>
      <c r="B736" t="s">
        <v>1351</v>
      </c>
      <c r="C736">
        <v>29</v>
      </c>
      <c r="D736" t="s">
        <v>12</v>
      </c>
      <c r="E736" s="2">
        <v>45440</v>
      </c>
      <c r="F736" s="2">
        <v>45441</v>
      </c>
      <c r="G736" t="s">
        <v>23</v>
      </c>
      <c r="H736" t="s">
        <v>82</v>
      </c>
      <c r="I736" s="3">
        <v>1250.03</v>
      </c>
      <c r="J736" t="s">
        <v>15</v>
      </c>
      <c r="K736" s="4">
        <v>0.8</v>
      </c>
      <c r="L736" s="3">
        <f t="shared" si="44"/>
        <v>1000.024</v>
      </c>
      <c r="M736" s="3">
        <f t="shared" si="45"/>
        <v>250.00599999999994</v>
      </c>
      <c r="N736">
        <f t="shared" si="46"/>
        <v>1</v>
      </c>
      <c r="O736" s="3">
        <f t="shared" si="47"/>
        <v>1250.03</v>
      </c>
      <c r="P736" t="str" cm="1">
        <f t="array" ref="P736">_xlfn.IFS(C736&lt;18, "Under 18", C736&lt;36, "Btw 18&amp;35", C736&lt;51, "Btw 36&amp;50", C736&lt;66, "Btw 51&amp;65", C736&gt;=66," 66&amp;Above")</f>
        <v>Btw 18&amp;35</v>
      </c>
    </row>
    <row r="737" spans="1:16">
      <c r="A737" t="s">
        <v>1352</v>
      </c>
      <c r="B737" t="s">
        <v>127</v>
      </c>
      <c r="C737">
        <v>76</v>
      </c>
      <c r="D737" t="s">
        <v>18</v>
      </c>
      <c r="E737" s="2">
        <v>45577</v>
      </c>
      <c r="F737" s="2">
        <v>45578</v>
      </c>
      <c r="G737" t="s">
        <v>23</v>
      </c>
      <c r="H737" t="s">
        <v>221</v>
      </c>
      <c r="I737" s="3">
        <v>2286.5500000000002</v>
      </c>
      <c r="J737" t="s">
        <v>25</v>
      </c>
      <c r="K737" s="4">
        <v>0.9</v>
      </c>
      <c r="L737" s="3">
        <f t="shared" si="44"/>
        <v>2057.8950000000004</v>
      </c>
      <c r="M737" s="3">
        <f t="shared" si="45"/>
        <v>228.65499999999997</v>
      </c>
      <c r="N737">
        <f t="shared" si="46"/>
        <v>1</v>
      </c>
      <c r="O737" s="3">
        <f t="shared" si="47"/>
        <v>0</v>
      </c>
      <c r="P737" t="str" cm="1">
        <f t="array" ref="P737">_xlfn.IFS(C737&lt;18, "Under 18", C737&lt;36, "Btw 18&amp;35", C737&lt;51, "Btw 36&amp;50", C737&lt;66, "Btw 51&amp;65", C737&gt;=66," 66&amp;Above")</f>
        <v xml:space="preserve"> 66&amp;Above</v>
      </c>
    </row>
    <row r="738" spans="1:16">
      <c r="A738" t="s">
        <v>1353</v>
      </c>
      <c r="B738" t="s">
        <v>396</v>
      </c>
      <c r="C738">
        <v>70</v>
      </c>
      <c r="D738" t="s">
        <v>12</v>
      </c>
      <c r="E738" s="2">
        <v>45504</v>
      </c>
      <c r="F738" s="2">
        <v>45505</v>
      </c>
      <c r="G738" t="s">
        <v>23</v>
      </c>
      <c r="H738" t="s">
        <v>221</v>
      </c>
      <c r="I738" s="3">
        <v>1516.2</v>
      </c>
      <c r="J738" t="s">
        <v>15</v>
      </c>
      <c r="K738" s="4">
        <v>0.8</v>
      </c>
      <c r="L738" s="3">
        <f t="shared" si="44"/>
        <v>1212.96</v>
      </c>
      <c r="M738" s="3">
        <f t="shared" si="45"/>
        <v>303.23999999999995</v>
      </c>
      <c r="N738">
        <f t="shared" si="46"/>
        <v>1</v>
      </c>
      <c r="O738" s="3">
        <f t="shared" si="47"/>
        <v>1516.2</v>
      </c>
      <c r="P738" t="str" cm="1">
        <f t="array" ref="P738">_xlfn.IFS(C738&lt;18, "Under 18", C738&lt;36, "Btw 18&amp;35", C738&lt;51, "Btw 36&amp;50", C738&lt;66, "Btw 51&amp;65", C738&gt;=66," 66&amp;Above")</f>
        <v xml:space="preserve"> 66&amp;Above</v>
      </c>
    </row>
    <row r="739" spans="1:16">
      <c r="A739" t="s">
        <v>1354</v>
      </c>
      <c r="B739" t="s">
        <v>1355</v>
      </c>
      <c r="C739">
        <v>79</v>
      </c>
      <c r="D739" t="s">
        <v>18</v>
      </c>
      <c r="E739" s="2">
        <v>45659</v>
      </c>
      <c r="F739" s="2">
        <v>45669</v>
      </c>
      <c r="G739" t="s">
        <v>13</v>
      </c>
      <c r="H739" t="s">
        <v>14</v>
      </c>
      <c r="I739" s="3">
        <v>24161.06</v>
      </c>
      <c r="J739" t="s">
        <v>15</v>
      </c>
      <c r="K739" s="4">
        <v>1</v>
      </c>
      <c r="L739" s="3">
        <f t="shared" si="44"/>
        <v>24161.06</v>
      </c>
      <c r="M739" s="3">
        <f t="shared" si="45"/>
        <v>0</v>
      </c>
      <c r="N739">
        <f t="shared" si="46"/>
        <v>10</v>
      </c>
      <c r="O739" s="3">
        <f t="shared" si="47"/>
        <v>24161.06</v>
      </c>
      <c r="P739" t="str" cm="1">
        <f t="array" ref="P739">_xlfn.IFS(C739&lt;18, "Under 18", C739&lt;36, "Btw 18&amp;35", C739&lt;51, "Btw 36&amp;50", C739&lt;66, "Btw 51&amp;65", C739&gt;=66," 66&amp;Above")</f>
        <v xml:space="preserve"> 66&amp;Above</v>
      </c>
    </row>
    <row r="740" spans="1:16">
      <c r="A740" t="s">
        <v>1356</v>
      </c>
      <c r="B740" t="s">
        <v>1357</v>
      </c>
      <c r="C740">
        <v>76</v>
      </c>
      <c r="D740" t="s">
        <v>18</v>
      </c>
      <c r="E740" s="2">
        <v>45650</v>
      </c>
      <c r="F740" s="2">
        <v>45653</v>
      </c>
      <c r="G740" t="s">
        <v>23</v>
      </c>
      <c r="H740" t="s">
        <v>41</v>
      </c>
      <c r="I740" s="3">
        <v>5162.18</v>
      </c>
      <c r="J740" t="s">
        <v>25</v>
      </c>
      <c r="K740" s="4">
        <v>0.9</v>
      </c>
      <c r="L740" s="3">
        <f t="shared" si="44"/>
        <v>4645.9620000000004</v>
      </c>
      <c r="M740" s="3">
        <f t="shared" si="45"/>
        <v>516.21799999999996</v>
      </c>
      <c r="N740">
        <f t="shared" si="46"/>
        <v>3</v>
      </c>
      <c r="O740" s="3">
        <f t="shared" si="47"/>
        <v>0</v>
      </c>
      <c r="P740" t="str" cm="1">
        <f t="array" ref="P740">_xlfn.IFS(C740&lt;18, "Under 18", C740&lt;36, "Btw 18&amp;35", C740&lt;51, "Btw 36&amp;50", C740&lt;66, "Btw 51&amp;65", C740&gt;=66," 66&amp;Above")</f>
        <v xml:space="preserve"> 66&amp;Above</v>
      </c>
    </row>
    <row r="741" spans="1:16">
      <c r="A741" t="s">
        <v>1358</v>
      </c>
      <c r="B741" t="s">
        <v>602</v>
      </c>
      <c r="C741">
        <v>27</v>
      </c>
      <c r="D741" t="s">
        <v>12</v>
      </c>
      <c r="E741" s="2">
        <v>45724</v>
      </c>
      <c r="F741" s="2">
        <v>45737</v>
      </c>
      <c r="G741" t="s">
        <v>60</v>
      </c>
      <c r="H741" t="s">
        <v>133</v>
      </c>
      <c r="I741" s="3">
        <v>22371.56</v>
      </c>
      <c r="J741" t="s">
        <v>15</v>
      </c>
      <c r="K741" s="4">
        <v>0.8</v>
      </c>
      <c r="L741" s="3">
        <f t="shared" si="44"/>
        <v>17897.248000000003</v>
      </c>
      <c r="M741" s="3">
        <f t="shared" si="45"/>
        <v>4474.311999999999</v>
      </c>
      <c r="N741">
        <f t="shared" si="46"/>
        <v>13</v>
      </c>
      <c r="O741" s="3">
        <f t="shared" si="47"/>
        <v>22371.56</v>
      </c>
      <c r="P741" t="str" cm="1">
        <f t="array" ref="P741">_xlfn.IFS(C741&lt;18, "Under 18", C741&lt;36, "Btw 18&amp;35", C741&lt;51, "Btw 36&amp;50", C741&lt;66, "Btw 51&amp;65", C741&gt;=66," 66&amp;Above")</f>
        <v>Btw 18&amp;35</v>
      </c>
    </row>
    <row r="742" spans="1:16">
      <c r="A742" t="s">
        <v>1359</v>
      </c>
      <c r="B742" t="s">
        <v>527</v>
      </c>
      <c r="C742">
        <v>82</v>
      </c>
      <c r="D742" t="s">
        <v>18</v>
      </c>
      <c r="E742" s="2">
        <v>45592</v>
      </c>
      <c r="F742" s="2">
        <v>45593</v>
      </c>
      <c r="G742" t="s">
        <v>23</v>
      </c>
      <c r="H742" t="s">
        <v>82</v>
      </c>
      <c r="I742" s="3">
        <v>1865.06</v>
      </c>
      <c r="J742" t="s">
        <v>15</v>
      </c>
      <c r="K742" s="4">
        <v>0.8</v>
      </c>
      <c r="L742" s="3">
        <f t="shared" si="44"/>
        <v>1492.048</v>
      </c>
      <c r="M742" s="3">
        <f t="shared" si="45"/>
        <v>373.01199999999989</v>
      </c>
      <c r="N742">
        <f t="shared" si="46"/>
        <v>1</v>
      </c>
      <c r="O742" s="3">
        <f t="shared" si="47"/>
        <v>1865.06</v>
      </c>
      <c r="P742" t="str" cm="1">
        <f t="array" ref="P742">_xlfn.IFS(C742&lt;18, "Under 18", C742&lt;36, "Btw 18&amp;35", C742&lt;51, "Btw 36&amp;50", C742&lt;66, "Btw 51&amp;65", C742&gt;=66," 66&amp;Above")</f>
        <v xml:space="preserve"> 66&amp;Above</v>
      </c>
    </row>
    <row r="743" spans="1:16">
      <c r="A743" t="s">
        <v>1360</v>
      </c>
      <c r="B743" t="s">
        <v>1361</v>
      </c>
      <c r="C743">
        <v>71</v>
      </c>
      <c r="D743" t="s">
        <v>12</v>
      </c>
      <c r="E743" s="2">
        <v>45558</v>
      </c>
      <c r="F743" s="2">
        <v>45561</v>
      </c>
      <c r="G743" t="s">
        <v>13</v>
      </c>
      <c r="H743" t="s">
        <v>165</v>
      </c>
      <c r="I743" s="3">
        <v>7640.58</v>
      </c>
      <c r="J743" t="s">
        <v>25</v>
      </c>
      <c r="K743" s="4">
        <v>0.8</v>
      </c>
      <c r="L743" s="3">
        <f t="shared" si="44"/>
        <v>6112.4639999999999</v>
      </c>
      <c r="M743" s="3">
        <f t="shared" si="45"/>
        <v>1528.1159999999998</v>
      </c>
      <c r="N743">
        <f t="shared" si="46"/>
        <v>3</v>
      </c>
      <c r="O743" s="3">
        <f t="shared" si="47"/>
        <v>0</v>
      </c>
      <c r="P743" t="str" cm="1">
        <f t="array" ref="P743">_xlfn.IFS(C743&lt;18, "Under 18", C743&lt;36, "Btw 18&amp;35", C743&lt;51, "Btw 36&amp;50", C743&lt;66, "Btw 51&amp;65", C743&gt;=66," 66&amp;Above")</f>
        <v xml:space="preserve"> 66&amp;Above</v>
      </c>
    </row>
    <row r="744" spans="1:16">
      <c r="A744" t="s">
        <v>1362</v>
      </c>
      <c r="B744" t="s">
        <v>328</v>
      </c>
      <c r="C744">
        <v>69</v>
      </c>
      <c r="D744" t="s">
        <v>18</v>
      </c>
      <c r="E744" s="2">
        <v>45688</v>
      </c>
      <c r="F744" s="2">
        <v>45690</v>
      </c>
      <c r="G744" t="s">
        <v>31</v>
      </c>
      <c r="H744" t="s">
        <v>35</v>
      </c>
      <c r="I744" s="3">
        <v>2892.4</v>
      </c>
      <c r="J744" t="s">
        <v>15</v>
      </c>
      <c r="K744" s="4">
        <v>0.5</v>
      </c>
      <c r="L744" s="3">
        <f t="shared" si="44"/>
        <v>1446.2</v>
      </c>
      <c r="M744" s="3">
        <f t="shared" si="45"/>
        <v>1446.2</v>
      </c>
      <c r="N744">
        <f t="shared" si="46"/>
        <v>2</v>
      </c>
      <c r="O744" s="3">
        <f t="shared" si="47"/>
        <v>2892.4</v>
      </c>
      <c r="P744" t="str" cm="1">
        <f t="array" ref="P744">_xlfn.IFS(C744&lt;18, "Under 18", C744&lt;36, "Btw 18&amp;35", C744&lt;51, "Btw 36&amp;50", C744&lt;66, "Btw 51&amp;65", C744&gt;=66," 66&amp;Above")</f>
        <v xml:space="preserve"> 66&amp;Above</v>
      </c>
    </row>
    <row r="745" spans="1:16">
      <c r="A745" t="s">
        <v>1363</v>
      </c>
      <c r="B745" t="s">
        <v>369</v>
      </c>
      <c r="C745">
        <v>32</v>
      </c>
      <c r="D745" t="s">
        <v>12</v>
      </c>
      <c r="E745" s="2">
        <v>45650</v>
      </c>
      <c r="F745" s="2">
        <v>45657</v>
      </c>
      <c r="G745" t="s">
        <v>70</v>
      </c>
      <c r="H745" t="s">
        <v>71</v>
      </c>
      <c r="I745" s="3">
        <v>9495.5300000000007</v>
      </c>
      <c r="J745" t="s">
        <v>20</v>
      </c>
      <c r="K745" s="4">
        <v>1</v>
      </c>
      <c r="L745" s="3">
        <f t="shared" si="44"/>
        <v>9495.5300000000007</v>
      </c>
      <c r="M745" s="3">
        <f t="shared" si="45"/>
        <v>0</v>
      </c>
      <c r="N745">
        <f t="shared" si="46"/>
        <v>7</v>
      </c>
      <c r="O745" s="3">
        <f t="shared" si="47"/>
        <v>0</v>
      </c>
      <c r="P745" t="str" cm="1">
        <f t="array" ref="P745">_xlfn.IFS(C745&lt;18, "Under 18", C745&lt;36, "Btw 18&amp;35", C745&lt;51, "Btw 36&amp;50", C745&lt;66, "Btw 51&amp;65", C745&gt;=66," 66&amp;Above")</f>
        <v>Btw 18&amp;35</v>
      </c>
    </row>
    <row r="746" spans="1:16">
      <c r="A746" t="s">
        <v>1364</v>
      </c>
      <c r="B746" t="s">
        <v>550</v>
      </c>
      <c r="C746">
        <v>29</v>
      </c>
      <c r="D746" t="s">
        <v>18</v>
      </c>
      <c r="E746" s="2">
        <v>45559</v>
      </c>
      <c r="F746" s="2">
        <v>45560</v>
      </c>
      <c r="G746" t="s">
        <v>23</v>
      </c>
      <c r="H746" t="s">
        <v>28</v>
      </c>
      <c r="I746" s="3">
        <v>870.1</v>
      </c>
      <c r="J746" t="s">
        <v>15</v>
      </c>
      <c r="K746" s="4">
        <v>0.8</v>
      </c>
      <c r="L746" s="3">
        <f t="shared" si="44"/>
        <v>696.08</v>
      </c>
      <c r="M746" s="3">
        <f t="shared" si="45"/>
        <v>174.01999999999995</v>
      </c>
      <c r="N746">
        <f t="shared" si="46"/>
        <v>1</v>
      </c>
      <c r="O746" s="3">
        <f t="shared" si="47"/>
        <v>870.1</v>
      </c>
      <c r="P746" t="str" cm="1">
        <f t="array" ref="P746">_xlfn.IFS(C746&lt;18, "Under 18", C746&lt;36, "Btw 18&amp;35", C746&lt;51, "Btw 36&amp;50", C746&lt;66, "Btw 51&amp;65", C746&gt;=66," 66&amp;Above")</f>
        <v>Btw 18&amp;35</v>
      </c>
    </row>
    <row r="747" spans="1:16">
      <c r="A747" t="s">
        <v>1365</v>
      </c>
      <c r="B747" t="s">
        <v>300</v>
      </c>
      <c r="C747">
        <v>76</v>
      </c>
      <c r="D747" t="s">
        <v>18</v>
      </c>
      <c r="E747" s="2">
        <v>45306</v>
      </c>
      <c r="F747" s="2">
        <v>45307</v>
      </c>
      <c r="G747" t="s">
        <v>31</v>
      </c>
      <c r="H747" t="s">
        <v>32</v>
      </c>
      <c r="I747" s="3">
        <v>1437.06</v>
      </c>
      <c r="J747" t="s">
        <v>20</v>
      </c>
      <c r="K747" s="4">
        <v>0.7</v>
      </c>
      <c r="L747" s="3">
        <f t="shared" si="44"/>
        <v>1005.9419999999999</v>
      </c>
      <c r="M747" s="3">
        <f t="shared" si="45"/>
        <v>431.11800000000005</v>
      </c>
      <c r="N747">
        <f t="shared" si="46"/>
        <v>1</v>
      </c>
      <c r="O747" s="3">
        <f t="shared" si="47"/>
        <v>0</v>
      </c>
      <c r="P747" t="str" cm="1">
        <f t="array" ref="P747">_xlfn.IFS(C747&lt;18, "Under 18", C747&lt;36, "Btw 18&amp;35", C747&lt;51, "Btw 36&amp;50", C747&lt;66, "Btw 51&amp;65", C747&gt;=66," 66&amp;Above")</f>
        <v xml:space="preserve"> 66&amp;Above</v>
      </c>
    </row>
    <row r="748" spans="1:16">
      <c r="A748" t="s">
        <v>1366</v>
      </c>
      <c r="B748" t="s">
        <v>502</v>
      </c>
      <c r="C748">
        <v>53</v>
      </c>
      <c r="D748" t="s">
        <v>18</v>
      </c>
      <c r="E748" s="2">
        <v>45519</v>
      </c>
      <c r="F748" s="2">
        <v>45524</v>
      </c>
      <c r="G748" t="s">
        <v>31</v>
      </c>
      <c r="H748" t="s">
        <v>53</v>
      </c>
      <c r="I748" s="3">
        <v>2735.83</v>
      </c>
      <c r="J748" t="s">
        <v>20</v>
      </c>
      <c r="K748" s="4">
        <v>0.9</v>
      </c>
      <c r="L748" s="3">
        <f t="shared" si="44"/>
        <v>2462.2469999999998</v>
      </c>
      <c r="M748" s="3">
        <f t="shared" si="45"/>
        <v>273.58299999999991</v>
      </c>
      <c r="N748">
        <f t="shared" si="46"/>
        <v>5</v>
      </c>
      <c r="O748" s="3">
        <f t="shared" si="47"/>
        <v>0</v>
      </c>
      <c r="P748" t="str" cm="1">
        <f t="array" ref="P748">_xlfn.IFS(C748&lt;18, "Under 18", C748&lt;36, "Btw 18&amp;35", C748&lt;51, "Btw 36&amp;50", C748&lt;66, "Btw 51&amp;65", C748&gt;=66," 66&amp;Above")</f>
        <v>Btw 51&amp;65</v>
      </c>
    </row>
    <row r="749" spans="1:16">
      <c r="A749" t="s">
        <v>1367</v>
      </c>
      <c r="B749" t="s">
        <v>177</v>
      </c>
      <c r="C749">
        <v>27</v>
      </c>
      <c r="D749" t="s">
        <v>12</v>
      </c>
      <c r="E749" s="2">
        <v>45628</v>
      </c>
      <c r="F749" s="2">
        <v>45629</v>
      </c>
      <c r="G749" t="s">
        <v>23</v>
      </c>
      <c r="H749" t="s">
        <v>24</v>
      </c>
      <c r="I749" s="3">
        <v>1879.03</v>
      </c>
      <c r="J749" t="s">
        <v>15</v>
      </c>
      <c r="K749" s="4">
        <v>1</v>
      </c>
      <c r="L749" s="3">
        <f t="shared" si="44"/>
        <v>1879.03</v>
      </c>
      <c r="M749" s="3">
        <f t="shared" si="45"/>
        <v>0</v>
      </c>
      <c r="N749">
        <f t="shared" si="46"/>
        <v>1</v>
      </c>
      <c r="O749" s="3">
        <f t="shared" si="47"/>
        <v>1879.03</v>
      </c>
      <c r="P749" t="str" cm="1">
        <f t="array" ref="P749">_xlfn.IFS(C749&lt;18, "Under 18", C749&lt;36, "Btw 18&amp;35", C749&lt;51, "Btw 36&amp;50", C749&lt;66, "Btw 51&amp;65", C749&gt;=66," 66&amp;Above")</f>
        <v>Btw 18&amp;35</v>
      </c>
    </row>
    <row r="750" spans="1:16">
      <c r="A750" t="s">
        <v>1368</v>
      </c>
      <c r="B750" t="s">
        <v>721</v>
      </c>
      <c r="C750">
        <v>11</v>
      </c>
      <c r="D750" t="s">
        <v>18</v>
      </c>
      <c r="E750" s="2">
        <v>45482</v>
      </c>
      <c r="F750" s="2">
        <v>45486</v>
      </c>
      <c r="G750" t="s">
        <v>49</v>
      </c>
      <c r="H750" t="s">
        <v>130</v>
      </c>
      <c r="I750" s="3">
        <v>4685.1499999999996</v>
      </c>
      <c r="J750" t="s">
        <v>25</v>
      </c>
      <c r="K750" s="4">
        <v>0.7</v>
      </c>
      <c r="L750" s="3">
        <f t="shared" si="44"/>
        <v>3279.6049999999996</v>
      </c>
      <c r="M750" s="3">
        <f t="shared" si="45"/>
        <v>1405.5450000000001</v>
      </c>
      <c r="N750">
        <f t="shared" si="46"/>
        <v>4</v>
      </c>
      <c r="O750" s="3">
        <f t="shared" si="47"/>
        <v>0</v>
      </c>
      <c r="P750" t="str" cm="1">
        <f t="array" ref="P750">_xlfn.IFS(C750&lt;18, "Under 18", C750&lt;36, "Btw 18&amp;35", C750&lt;51, "Btw 36&amp;50", C750&lt;66, "Btw 51&amp;65", C750&gt;=66," 66&amp;Above")</f>
        <v>Under 18</v>
      </c>
    </row>
    <row r="751" spans="1:16">
      <c r="A751" t="s">
        <v>1369</v>
      </c>
      <c r="B751" t="s">
        <v>369</v>
      </c>
      <c r="C751">
        <v>30</v>
      </c>
      <c r="D751" t="s">
        <v>12</v>
      </c>
      <c r="E751" s="2">
        <v>45987</v>
      </c>
      <c r="F751" s="2">
        <v>45989</v>
      </c>
      <c r="G751" t="s">
        <v>23</v>
      </c>
      <c r="H751" t="s">
        <v>41</v>
      </c>
      <c r="I751" s="3">
        <v>4638.3500000000004</v>
      </c>
      <c r="J751" t="s">
        <v>25</v>
      </c>
      <c r="K751" s="4">
        <v>0.9</v>
      </c>
      <c r="L751" s="3">
        <f t="shared" si="44"/>
        <v>4174.5150000000003</v>
      </c>
      <c r="M751" s="3">
        <f t="shared" si="45"/>
        <v>463.83499999999992</v>
      </c>
      <c r="N751">
        <f t="shared" si="46"/>
        <v>2</v>
      </c>
      <c r="O751" s="3">
        <f t="shared" si="47"/>
        <v>0</v>
      </c>
      <c r="P751" t="str" cm="1">
        <f t="array" ref="P751">_xlfn.IFS(C751&lt;18, "Under 18", C751&lt;36, "Btw 18&amp;35", C751&lt;51, "Btw 36&amp;50", C751&lt;66, "Btw 51&amp;65", C751&gt;=66," 66&amp;Above")</f>
        <v>Btw 18&amp;35</v>
      </c>
    </row>
    <row r="752" spans="1:16">
      <c r="A752" t="s">
        <v>1370</v>
      </c>
      <c r="B752" t="s">
        <v>17</v>
      </c>
      <c r="C752">
        <v>35</v>
      </c>
      <c r="D752" t="s">
        <v>18</v>
      </c>
      <c r="E752" s="2">
        <v>45454</v>
      </c>
      <c r="F752" s="2">
        <v>45457</v>
      </c>
      <c r="G752" t="s">
        <v>23</v>
      </c>
      <c r="H752" t="s">
        <v>333</v>
      </c>
      <c r="I752" s="3">
        <v>6181.48</v>
      </c>
      <c r="J752" t="s">
        <v>15</v>
      </c>
      <c r="K752" s="4">
        <v>0.9</v>
      </c>
      <c r="L752" s="3">
        <f t="shared" si="44"/>
        <v>5563.3319999999994</v>
      </c>
      <c r="M752" s="3">
        <f t="shared" si="45"/>
        <v>618.1479999999998</v>
      </c>
      <c r="N752">
        <f t="shared" si="46"/>
        <v>3</v>
      </c>
      <c r="O752" s="3">
        <f t="shared" si="47"/>
        <v>6181.48</v>
      </c>
      <c r="P752" t="str" cm="1">
        <f t="array" ref="P752">_xlfn.IFS(C752&lt;18, "Under 18", C752&lt;36, "Btw 18&amp;35", C752&lt;51, "Btw 36&amp;50", C752&lt;66, "Btw 51&amp;65", C752&gt;=66," 66&amp;Above")</f>
        <v>Btw 18&amp;35</v>
      </c>
    </row>
    <row r="753" spans="1:16">
      <c r="A753" t="s">
        <v>1371</v>
      </c>
      <c r="B753" t="s">
        <v>156</v>
      </c>
      <c r="C753">
        <v>66</v>
      </c>
      <c r="D753" t="s">
        <v>18</v>
      </c>
      <c r="E753" s="2">
        <v>45993</v>
      </c>
      <c r="F753" s="2">
        <v>45999</v>
      </c>
      <c r="G753" t="s">
        <v>70</v>
      </c>
      <c r="H753" t="s">
        <v>237</v>
      </c>
      <c r="I753" s="3">
        <v>10893.55</v>
      </c>
      <c r="J753" t="s">
        <v>15</v>
      </c>
      <c r="K753" s="4">
        <v>0.8</v>
      </c>
      <c r="L753" s="3">
        <f t="shared" si="44"/>
        <v>8714.84</v>
      </c>
      <c r="M753" s="3">
        <f t="shared" si="45"/>
        <v>2178.7099999999996</v>
      </c>
      <c r="N753">
        <f t="shared" si="46"/>
        <v>6</v>
      </c>
      <c r="O753" s="3">
        <f t="shared" si="47"/>
        <v>10893.55</v>
      </c>
      <c r="P753" t="str" cm="1">
        <f t="array" ref="P753">_xlfn.IFS(C753&lt;18, "Under 18", C753&lt;36, "Btw 18&amp;35", C753&lt;51, "Btw 36&amp;50", C753&lt;66, "Btw 51&amp;65", C753&gt;=66," 66&amp;Above")</f>
        <v xml:space="preserve"> 66&amp;Above</v>
      </c>
    </row>
    <row r="754" spans="1:16">
      <c r="A754" t="s">
        <v>1372</v>
      </c>
      <c r="B754" t="s">
        <v>746</v>
      </c>
      <c r="C754">
        <v>70</v>
      </c>
      <c r="D754" t="s">
        <v>12</v>
      </c>
      <c r="E754" s="2">
        <v>45481</v>
      </c>
      <c r="F754" s="2">
        <v>45485</v>
      </c>
      <c r="G754" t="s">
        <v>31</v>
      </c>
      <c r="H754" t="s">
        <v>44</v>
      </c>
      <c r="I754" s="3">
        <v>5559.19</v>
      </c>
      <c r="J754" t="s">
        <v>15</v>
      </c>
      <c r="K754" s="4">
        <v>1</v>
      </c>
      <c r="L754" s="3">
        <f t="shared" si="44"/>
        <v>5559.19</v>
      </c>
      <c r="M754" s="3">
        <f t="shared" si="45"/>
        <v>0</v>
      </c>
      <c r="N754">
        <f t="shared" si="46"/>
        <v>4</v>
      </c>
      <c r="O754" s="3">
        <f t="shared" si="47"/>
        <v>5559.19</v>
      </c>
      <c r="P754" t="str" cm="1">
        <f t="array" ref="P754">_xlfn.IFS(C754&lt;18, "Under 18", C754&lt;36, "Btw 18&amp;35", C754&lt;51, "Btw 36&amp;50", C754&lt;66, "Btw 51&amp;65", C754&gt;=66," 66&amp;Above")</f>
        <v xml:space="preserve"> 66&amp;Above</v>
      </c>
    </row>
    <row r="755" spans="1:16">
      <c r="A755" t="s">
        <v>1373</v>
      </c>
      <c r="B755" t="s">
        <v>1374</v>
      </c>
      <c r="C755">
        <v>82</v>
      </c>
      <c r="D755" t="s">
        <v>18</v>
      </c>
      <c r="E755" s="2">
        <v>45867</v>
      </c>
      <c r="F755" s="2">
        <v>45873</v>
      </c>
      <c r="G755" t="s">
        <v>13</v>
      </c>
      <c r="H755" t="s">
        <v>165</v>
      </c>
      <c r="I755" s="3">
        <v>12777.22</v>
      </c>
      <c r="J755" t="s">
        <v>15</v>
      </c>
      <c r="K755" s="4">
        <v>0.9</v>
      </c>
      <c r="L755" s="3">
        <f t="shared" si="44"/>
        <v>11499.498</v>
      </c>
      <c r="M755" s="3">
        <f t="shared" si="45"/>
        <v>1277.7219999999998</v>
      </c>
      <c r="N755">
        <f t="shared" si="46"/>
        <v>6</v>
      </c>
      <c r="O755" s="3">
        <f t="shared" si="47"/>
        <v>12777.22</v>
      </c>
      <c r="P755" t="str" cm="1">
        <f t="array" ref="P755">_xlfn.IFS(C755&lt;18, "Under 18", C755&lt;36, "Btw 18&amp;35", C755&lt;51, "Btw 36&amp;50", C755&lt;66, "Btw 51&amp;65", C755&gt;=66," 66&amp;Above")</f>
        <v xml:space="preserve"> 66&amp;Above</v>
      </c>
    </row>
    <row r="756" spans="1:16">
      <c r="A756" t="s">
        <v>1375</v>
      </c>
      <c r="B756" t="s">
        <v>1376</v>
      </c>
      <c r="C756">
        <v>28</v>
      </c>
      <c r="D756" t="s">
        <v>18</v>
      </c>
      <c r="E756" s="2">
        <v>45362</v>
      </c>
      <c r="F756" s="2">
        <v>45363</v>
      </c>
      <c r="G756" t="s">
        <v>23</v>
      </c>
      <c r="H756" t="s">
        <v>41</v>
      </c>
      <c r="I756" s="3">
        <v>824.72</v>
      </c>
      <c r="J756" t="s">
        <v>15</v>
      </c>
      <c r="K756" s="4">
        <v>0.8</v>
      </c>
      <c r="L756" s="3">
        <f t="shared" si="44"/>
        <v>659.77600000000007</v>
      </c>
      <c r="M756" s="3">
        <f t="shared" si="45"/>
        <v>164.94399999999996</v>
      </c>
      <c r="N756">
        <f t="shared" si="46"/>
        <v>1</v>
      </c>
      <c r="O756" s="3">
        <f t="shared" si="47"/>
        <v>824.72</v>
      </c>
      <c r="P756" t="str" cm="1">
        <f t="array" ref="P756">_xlfn.IFS(C756&lt;18, "Under 18", C756&lt;36, "Btw 18&amp;35", C756&lt;51, "Btw 36&amp;50", C756&lt;66, "Btw 51&amp;65", C756&gt;=66," 66&amp;Above")</f>
        <v>Btw 18&amp;35</v>
      </c>
    </row>
    <row r="757" spans="1:16">
      <c r="A757" t="s">
        <v>1377</v>
      </c>
      <c r="B757" t="s">
        <v>1011</v>
      </c>
      <c r="C757">
        <v>77</v>
      </c>
      <c r="D757" t="s">
        <v>12</v>
      </c>
      <c r="E757" s="2">
        <v>45744</v>
      </c>
      <c r="F757" s="2">
        <v>45748</v>
      </c>
      <c r="G757" t="s">
        <v>70</v>
      </c>
      <c r="H757" t="s">
        <v>194</v>
      </c>
      <c r="I757" s="3">
        <v>7892.83</v>
      </c>
      <c r="J757" t="s">
        <v>15</v>
      </c>
      <c r="K757" s="4">
        <v>0.9</v>
      </c>
      <c r="L757" s="3">
        <f t="shared" si="44"/>
        <v>7103.5470000000005</v>
      </c>
      <c r="M757" s="3">
        <f t="shared" si="45"/>
        <v>789.28299999999979</v>
      </c>
      <c r="N757">
        <f t="shared" si="46"/>
        <v>4</v>
      </c>
      <c r="O757" s="3">
        <f t="shared" si="47"/>
        <v>7892.83</v>
      </c>
      <c r="P757" t="str" cm="1">
        <f t="array" ref="P757">_xlfn.IFS(C757&lt;18, "Under 18", C757&lt;36, "Btw 18&amp;35", C757&lt;51, "Btw 36&amp;50", C757&lt;66, "Btw 51&amp;65", C757&gt;=66," 66&amp;Above")</f>
        <v xml:space="preserve"> 66&amp;Above</v>
      </c>
    </row>
    <row r="758" spans="1:16">
      <c r="A758" t="s">
        <v>1378</v>
      </c>
      <c r="B758" t="s">
        <v>913</v>
      </c>
      <c r="C758">
        <v>34</v>
      </c>
      <c r="D758" t="s">
        <v>18</v>
      </c>
      <c r="E758" s="2">
        <v>45537</v>
      </c>
      <c r="F758" s="2">
        <v>45539</v>
      </c>
      <c r="G758" t="s">
        <v>23</v>
      </c>
      <c r="H758" t="s">
        <v>82</v>
      </c>
      <c r="I758" s="3">
        <v>4965.79</v>
      </c>
      <c r="J758" t="s">
        <v>15</v>
      </c>
      <c r="K758" s="4">
        <v>0.8</v>
      </c>
      <c r="L758" s="3">
        <f t="shared" si="44"/>
        <v>3972.6320000000001</v>
      </c>
      <c r="M758" s="3">
        <f t="shared" si="45"/>
        <v>993.15799999999979</v>
      </c>
      <c r="N758">
        <f t="shared" si="46"/>
        <v>2</v>
      </c>
      <c r="O758" s="3">
        <f t="shared" si="47"/>
        <v>4965.79</v>
      </c>
      <c r="P758" t="str" cm="1">
        <f t="array" ref="P758">_xlfn.IFS(C758&lt;18, "Under 18", C758&lt;36, "Btw 18&amp;35", C758&lt;51, "Btw 36&amp;50", C758&lt;66, "Btw 51&amp;65", C758&gt;=66," 66&amp;Above")</f>
        <v>Btw 18&amp;35</v>
      </c>
    </row>
    <row r="759" spans="1:16">
      <c r="A759" t="s">
        <v>1379</v>
      </c>
      <c r="B759" t="s">
        <v>1380</v>
      </c>
      <c r="C759">
        <v>8</v>
      </c>
      <c r="D759" t="s">
        <v>18</v>
      </c>
      <c r="E759" s="2">
        <v>45370</v>
      </c>
      <c r="F759" s="2">
        <v>45372</v>
      </c>
      <c r="G759" t="s">
        <v>49</v>
      </c>
      <c r="H759" t="s">
        <v>123</v>
      </c>
      <c r="I759" s="3">
        <v>1380.95</v>
      </c>
      <c r="J759" t="s">
        <v>15</v>
      </c>
      <c r="K759" s="4">
        <v>0.7</v>
      </c>
      <c r="L759" s="3">
        <f t="shared" si="44"/>
        <v>966.66499999999996</v>
      </c>
      <c r="M759" s="3">
        <f t="shared" si="45"/>
        <v>414.28500000000008</v>
      </c>
      <c r="N759">
        <f t="shared" si="46"/>
        <v>2</v>
      </c>
      <c r="O759" s="3">
        <f t="shared" si="47"/>
        <v>1380.95</v>
      </c>
      <c r="P759" t="str" cm="1">
        <f t="array" ref="P759">_xlfn.IFS(C759&lt;18, "Under 18", C759&lt;36, "Btw 18&amp;35", C759&lt;51, "Btw 36&amp;50", C759&lt;66, "Btw 51&amp;65", C759&gt;=66," 66&amp;Above")</f>
        <v>Under 18</v>
      </c>
    </row>
    <row r="760" spans="1:16">
      <c r="A760" t="s">
        <v>1381</v>
      </c>
      <c r="B760" t="s">
        <v>1382</v>
      </c>
      <c r="C760">
        <v>41</v>
      </c>
      <c r="D760" t="s">
        <v>12</v>
      </c>
      <c r="E760" s="2">
        <v>45484</v>
      </c>
      <c r="F760" s="2">
        <v>45485</v>
      </c>
      <c r="G760" t="s">
        <v>31</v>
      </c>
      <c r="H760" t="s">
        <v>53</v>
      </c>
      <c r="I760" s="3">
        <v>783.53</v>
      </c>
      <c r="J760" t="s">
        <v>15</v>
      </c>
      <c r="K760" s="4">
        <v>0.5</v>
      </c>
      <c r="L760" s="3">
        <f t="shared" si="44"/>
        <v>391.76499999999999</v>
      </c>
      <c r="M760" s="3">
        <f t="shared" si="45"/>
        <v>391.76499999999999</v>
      </c>
      <c r="N760">
        <f t="shared" si="46"/>
        <v>1</v>
      </c>
      <c r="O760" s="3">
        <f t="shared" si="47"/>
        <v>783.53</v>
      </c>
      <c r="P760" t="str" cm="1">
        <f t="array" ref="P760">_xlfn.IFS(C760&lt;18, "Under 18", C760&lt;36, "Btw 18&amp;35", C760&lt;51, "Btw 36&amp;50", C760&lt;66, "Btw 51&amp;65", C760&gt;=66," 66&amp;Above")</f>
        <v>Btw 36&amp;50</v>
      </c>
    </row>
    <row r="761" spans="1:16">
      <c r="A761" t="s">
        <v>1383</v>
      </c>
      <c r="B761" t="s">
        <v>686</v>
      </c>
      <c r="C761">
        <v>50</v>
      </c>
      <c r="D761" t="s">
        <v>12</v>
      </c>
      <c r="E761" s="2">
        <v>45702</v>
      </c>
      <c r="F761" s="2">
        <v>45703</v>
      </c>
      <c r="G761" t="s">
        <v>31</v>
      </c>
      <c r="H761" t="s">
        <v>35</v>
      </c>
      <c r="I761" s="3">
        <v>644.33000000000004</v>
      </c>
      <c r="J761" t="s">
        <v>25</v>
      </c>
      <c r="K761" s="4">
        <v>0.5</v>
      </c>
      <c r="L761" s="3">
        <f t="shared" si="44"/>
        <v>322.16500000000002</v>
      </c>
      <c r="M761" s="3">
        <f t="shared" si="45"/>
        <v>322.16500000000002</v>
      </c>
      <c r="N761">
        <f t="shared" si="46"/>
        <v>1</v>
      </c>
      <c r="O761" s="3">
        <f t="shared" si="47"/>
        <v>0</v>
      </c>
      <c r="P761" t="str" cm="1">
        <f t="array" ref="P761">_xlfn.IFS(C761&lt;18, "Under 18", C761&lt;36, "Btw 18&amp;35", C761&lt;51, "Btw 36&amp;50", C761&lt;66, "Btw 51&amp;65", C761&gt;=66," 66&amp;Above")</f>
        <v>Btw 36&amp;50</v>
      </c>
    </row>
    <row r="762" spans="1:16">
      <c r="A762" t="s">
        <v>1384</v>
      </c>
      <c r="B762" t="s">
        <v>1385</v>
      </c>
      <c r="C762">
        <v>64</v>
      </c>
      <c r="D762" t="s">
        <v>12</v>
      </c>
      <c r="E762" s="2">
        <v>45986</v>
      </c>
      <c r="F762" s="2">
        <v>45987</v>
      </c>
      <c r="G762" t="s">
        <v>23</v>
      </c>
      <c r="H762" t="s">
        <v>24</v>
      </c>
      <c r="I762" s="3">
        <v>803.78</v>
      </c>
      <c r="J762" t="s">
        <v>15</v>
      </c>
      <c r="K762" s="4">
        <v>0.9</v>
      </c>
      <c r="L762" s="3">
        <f t="shared" si="44"/>
        <v>723.40200000000004</v>
      </c>
      <c r="M762" s="3">
        <f t="shared" si="45"/>
        <v>80.377999999999986</v>
      </c>
      <c r="N762">
        <f t="shared" si="46"/>
        <v>1</v>
      </c>
      <c r="O762" s="3">
        <f t="shared" si="47"/>
        <v>803.78</v>
      </c>
      <c r="P762" t="str" cm="1">
        <f t="array" ref="P762">_xlfn.IFS(C762&lt;18, "Under 18", C762&lt;36, "Btw 18&amp;35", C762&lt;51, "Btw 36&amp;50", C762&lt;66, "Btw 51&amp;65", C762&gt;=66," 66&amp;Above")</f>
        <v>Btw 51&amp;65</v>
      </c>
    </row>
    <row r="763" spans="1:16">
      <c r="A763" t="s">
        <v>1386</v>
      </c>
      <c r="B763" t="s">
        <v>1387</v>
      </c>
      <c r="C763">
        <v>32</v>
      </c>
      <c r="D763" t="s">
        <v>12</v>
      </c>
      <c r="E763" s="2">
        <v>45909</v>
      </c>
      <c r="F763" s="2">
        <v>45916</v>
      </c>
      <c r="G763" t="s">
        <v>31</v>
      </c>
      <c r="H763" t="s">
        <v>87</v>
      </c>
      <c r="I763" s="3">
        <v>7286.69</v>
      </c>
      <c r="J763" t="s">
        <v>15</v>
      </c>
      <c r="K763" s="4">
        <v>0.8</v>
      </c>
      <c r="L763" s="3">
        <f t="shared" si="44"/>
        <v>5829.3519999999999</v>
      </c>
      <c r="M763" s="3">
        <f t="shared" si="45"/>
        <v>1457.3379999999995</v>
      </c>
      <c r="N763">
        <f t="shared" si="46"/>
        <v>7</v>
      </c>
      <c r="O763" s="3">
        <f t="shared" si="47"/>
        <v>7286.69</v>
      </c>
      <c r="P763" t="str" cm="1">
        <f t="array" ref="P763">_xlfn.IFS(C763&lt;18, "Under 18", C763&lt;36, "Btw 18&amp;35", C763&lt;51, "Btw 36&amp;50", C763&lt;66, "Btw 51&amp;65", C763&gt;=66," 66&amp;Above")</f>
        <v>Btw 18&amp;35</v>
      </c>
    </row>
    <row r="764" spans="1:16">
      <c r="A764" t="s">
        <v>1388</v>
      </c>
      <c r="B764" t="s">
        <v>1389</v>
      </c>
      <c r="C764">
        <v>47</v>
      </c>
      <c r="D764" t="s">
        <v>18</v>
      </c>
      <c r="E764" s="2">
        <v>45597</v>
      </c>
      <c r="F764" s="2">
        <v>45600</v>
      </c>
      <c r="G764" t="s">
        <v>23</v>
      </c>
      <c r="H764" t="s">
        <v>333</v>
      </c>
      <c r="I764" s="3">
        <v>6520.03</v>
      </c>
      <c r="J764" t="s">
        <v>15</v>
      </c>
      <c r="K764" s="4">
        <v>0.8</v>
      </c>
      <c r="L764" s="3">
        <f t="shared" si="44"/>
        <v>5216.0240000000003</v>
      </c>
      <c r="M764" s="3">
        <f t="shared" si="45"/>
        <v>1304.0059999999996</v>
      </c>
      <c r="N764">
        <f t="shared" si="46"/>
        <v>3</v>
      </c>
      <c r="O764" s="3">
        <f t="shared" si="47"/>
        <v>6520.03</v>
      </c>
      <c r="P764" t="str" cm="1">
        <f t="array" ref="P764">_xlfn.IFS(C764&lt;18, "Under 18", C764&lt;36, "Btw 18&amp;35", C764&lt;51, "Btw 36&amp;50", C764&lt;66, "Btw 51&amp;65", C764&gt;=66," 66&amp;Above")</f>
        <v>Btw 36&amp;50</v>
      </c>
    </row>
    <row r="765" spans="1:16">
      <c r="A765" t="s">
        <v>1390</v>
      </c>
      <c r="B765" t="s">
        <v>106</v>
      </c>
      <c r="C765">
        <v>46</v>
      </c>
      <c r="D765" t="s">
        <v>18</v>
      </c>
      <c r="E765" s="2">
        <v>45992</v>
      </c>
      <c r="F765" s="2">
        <v>45993</v>
      </c>
      <c r="G765" t="s">
        <v>31</v>
      </c>
      <c r="H765" t="s">
        <v>35</v>
      </c>
      <c r="I765" s="3">
        <v>1101.07</v>
      </c>
      <c r="J765" t="s">
        <v>20</v>
      </c>
      <c r="K765" s="4">
        <v>0.7</v>
      </c>
      <c r="L765" s="3">
        <f t="shared" si="44"/>
        <v>770.74899999999991</v>
      </c>
      <c r="M765" s="3">
        <f t="shared" si="45"/>
        <v>330.32100000000003</v>
      </c>
      <c r="N765">
        <f t="shared" si="46"/>
        <v>1</v>
      </c>
      <c r="O765" s="3">
        <f t="shared" si="47"/>
        <v>0</v>
      </c>
      <c r="P765" t="str" cm="1">
        <f t="array" ref="P765">_xlfn.IFS(C765&lt;18, "Under 18", C765&lt;36, "Btw 18&amp;35", C765&lt;51, "Btw 36&amp;50", C765&lt;66, "Btw 51&amp;65", C765&gt;=66," 66&amp;Above")</f>
        <v>Btw 36&amp;50</v>
      </c>
    </row>
    <row r="766" spans="1:16">
      <c r="A766" t="s">
        <v>1391</v>
      </c>
      <c r="B766" t="s">
        <v>523</v>
      </c>
      <c r="C766">
        <v>48</v>
      </c>
      <c r="D766" t="s">
        <v>18</v>
      </c>
      <c r="E766" s="2">
        <v>45904</v>
      </c>
      <c r="F766" s="2">
        <v>45914</v>
      </c>
      <c r="G766" t="s">
        <v>13</v>
      </c>
      <c r="H766" t="s">
        <v>19</v>
      </c>
      <c r="I766" s="3">
        <v>15930.98</v>
      </c>
      <c r="J766" t="s">
        <v>15</v>
      </c>
      <c r="K766" s="4">
        <v>0.8</v>
      </c>
      <c r="L766" s="3">
        <f t="shared" si="44"/>
        <v>12744.784</v>
      </c>
      <c r="M766" s="3">
        <f t="shared" si="45"/>
        <v>3186.195999999999</v>
      </c>
      <c r="N766">
        <f t="shared" si="46"/>
        <v>10</v>
      </c>
      <c r="O766" s="3">
        <f t="shared" si="47"/>
        <v>15930.98</v>
      </c>
      <c r="P766" t="str" cm="1">
        <f t="array" ref="P766">_xlfn.IFS(C766&lt;18, "Under 18", C766&lt;36, "Btw 18&amp;35", C766&lt;51, "Btw 36&amp;50", C766&lt;66, "Btw 51&amp;65", C766&gt;=66," 66&amp;Above")</f>
        <v>Btw 36&amp;50</v>
      </c>
    </row>
    <row r="767" spans="1:16">
      <c r="A767" t="s">
        <v>1392</v>
      </c>
      <c r="B767" t="s">
        <v>1393</v>
      </c>
      <c r="C767">
        <v>47</v>
      </c>
      <c r="D767" t="s">
        <v>12</v>
      </c>
      <c r="E767" s="2">
        <v>45557</v>
      </c>
      <c r="F767" s="2">
        <v>45564</v>
      </c>
      <c r="G767" t="s">
        <v>31</v>
      </c>
      <c r="H767" t="s">
        <v>114</v>
      </c>
      <c r="I767" s="3">
        <v>6394.95</v>
      </c>
      <c r="J767" t="s">
        <v>25</v>
      </c>
      <c r="K767" s="4">
        <v>1</v>
      </c>
      <c r="L767" s="3">
        <f t="shared" si="44"/>
        <v>6394.95</v>
      </c>
      <c r="M767" s="3">
        <f t="shared" si="45"/>
        <v>0</v>
      </c>
      <c r="N767">
        <f t="shared" si="46"/>
        <v>7</v>
      </c>
      <c r="O767" s="3">
        <f t="shared" si="47"/>
        <v>0</v>
      </c>
      <c r="P767" t="str" cm="1">
        <f t="array" ref="P767">_xlfn.IFS(C767&lt;18, "Under 18", C767&lt;36, "Btw 18&amp;35", C767&lt;51, "Btw 36&amp;50", C767&lt;66, "Btw 51&amp;65", C767&gt;=66," 66&amp;Above")</f>
        <v>Btw 36&amp;50</v>
      </c>
    </row>
    <row r="768" spans="1:16">
      <c r="A768" t="s">
        <v>1394</v>
      </c>
      <c r="B768" t="s">
        <v>141</v>
      </c>
      <c r="C768">
        <v>18</v>
      </c>
      <c r="D768" t="s">
        <v>12</v>
      </c>
      <c r="E768" s="2">
        <v>45292</v>
      </c>
      <c r="F768" s="2">
        <v>45294</v>
      </c>
      <c r="G768" t="s">
        <v>31</v>
      </c>
      <c r="H768" t="s">
        <v>44</v>
      </c>
      <c r="I768" s="3">
        <v>2803.03</v>
      </c>
      <c r="J768" t="s">
        <v>15</v>
      </c>
      <c r="K768" s="4">
        <v>0.9</v>
      </c>
      <c r="L768" s="3">
        <f t="shared" si="44"/>
        <v>2522.7270000000003</v>
      </c>
      <c r="M768" s="3">
        <f t="shared" si="45"/>
        <v>280.30299999999994</v>
      </c>
      <c r="N768">
        <f t="shared" si="46"/>
        <v>2</v>
      </c>
      <c r="O768" s="3">
        <f t="shared" si="47"/>
        <v>2803.03</v>
      </c>
      <c r="P768" t="str" cm="1">
        <f t="array" ref="P768">_xlfn.IFS(C768&lt;18, "Under 18", C768&lt;36, "Btw 18&amp;35", C768&lt;51, "Btw 36&amp;50", C768&lt;66, "Btw 51&amp;65", C768&gt;=66," 66&amp;Above")</f>
        <v>Btw 18&amp;35</v>
      </c>
    </row>
    <row r="769" spans="1:16">
      <c r="A769" t="s">
        <v>1395</v>
      </c>
      <c r="B769" t="s">
        <v>1026</v>
      </c>
      <c r="C769">
        <v>41</v>
      </c>
      <c r="D769" t="s">
        <v>12</v>
      </c>
      <c r="E769" s="2">
        <v>45316</v>
      </c>
      <c r="F769" s="2">
        <v>45319</v>
      </c>
      <c r="G769" t="s">
        <v>70</v>
      </c>
      <c r="H769" t="s">
        <v>71</v>
      </c>
      <c r="I769" s="3">
        <v>4689.5200000000004</v>
      </c>
      <c r="J769" t="s">
        <v>15</v>
      </c>
      <c r="K769" s="4">
        <v>0.8</v>
      </c>
      <c r="L769" s="3">
        <f t="shared" si="44"/>
        <v>3751.6160000000004</v>
      </c>
      <c r="M769" s="3">
        <f t="shared" si="45"/>
        <v>937.90399999999988</v>
      </c>
      <c r="N769">
        <f t="shared" si="46"/>
        <v>3</v>
      </c>
      <c r="O769" s="3">
        <f t="shared" si="47"/>
        <v>4689.5200000000004</v>
      </c>
      <c r="P769" t="str" cm="1">
        <f t="array" ref="P769">_xlfn.IFS(C769&lt;18, "Under 18", C769&lt;36, "Btw 18&amp;35", C769&lt;51, "Btw 36&amp;50", C769&lt;66, "Btw 51&amp;65", C769&gt;=66," 66&amp;Above")</f>
        <v>Btw 36&amp;50</v>
      </c>
    </row>
    <row r="770" spans="1:16">
      <c r="A770" t="s">
        <v>1396</v>
      </c>
      <c r="B770" t="s">
        <v>1397</v>
      </c>
      <c r="C770">
        <v>67</v>
      </c>
      <c r="D770" t="s">
        <v>18</v>
      </c>
      <c r="E770" s="2">
        <v>45514</v>
      </c>
      <c r="F770" s="2">
        <v>45524</v>
      </c>
      <c r="G770" t="s">
        <v>70</v>
      </c>
      <c r="H770" t="s">
        <v>295</v>
      </c>
      <c r="I770" s="3">
        <v>13724.66</v>
      </c>
      <c r="J770" t="s">
        <v>15</v>
      </c>
      <c r="K770" s="4">
        <v>0.8</v>
      </c>
      <c r="L770" s="3">
        <f t="shared" si="44"/>
        <v>10979.728000000001</v>
      </c>
      <c r="M770" s="3">
        <f t="shared" si="45"/>
        <v>2744.9319999999993</v>
      </c>
      <c r="N770">
        <f t="shared" si="46"/>
        <v>10</v>
      </c>
      <c r="O770" s="3">
        <f t="shared" si="47"/>
        <v>13724.66</v>
      </c>
      <c r="P770" t="str" cm="1">
        <f t="array" ref="P770">_xlfn.IFS(C770&lt;18, "Under 18", C770&lt;36, "Btw 18&amp;35", C770&lt;51, "Btw 36&amp;50", C770&lt;66, "Btw 51&amp;65", C770&gt;=66," 66&amp;Above")</f>
        <v xml:space="preserve"> 66&amp;Above</v>
      </c>
    </row>
    <row r="771" spans="1:16">
      <c r="A771" t="s">
        <v>1398</v>
      </c>
      <c r="B771" t="s">
        <v>1399</v>
      </c>
      <c r="C771">
        <v>74</v>
      </c>
      <c r="D771" t="s">
        <v>12</v>
      </c>
      <c r="E771" s="2">
        <v>45708</v>
      </c>
      <c r="F771" s="2">
        <v>45712</v>
      </c>
      <c r="G771" t="s">
        <v>13</v>
      </c>
      <c r="H771" t="s">
        <v>38</v>
      </c>
      <c r="I771" s="3">
        <v>9130.48</v>
      </c>
      <c r="J771" t="s">
        <v>25</v>
      </c>
      <c r="K771" s="4">
        <v>0.6</v>
      </c>
      <c r="L771" s="3">
        <f t="shared" ref="L771:L834" si="48">I771*K771</f>
        <v>5478.2879999999996</v>
      </c>
      <c r="M771" s="3">
        <f t="shared" ref="M771:M834" si="49">(100%-K771)*I771</f>
        <v>3652.192</v>
      </c>
      <c r="N771">
        <f t="shared" ref="N771:N834" si="50">_xlfn.DAYS(F771,E771)</f>
        <v>4</v>
      </c>
      <c r="O771" s="3">
        <f t="shared" ref="O771:O834" si="51">IF(J771="Paid", I771, 0)</f>
        <v>0</v>
      </c>
      <c r="P771" t="str" cm="1">
        <f t="array" ref="P771">_xlfn.IFS(C771&lt;18, "Under 18", C771&lt;36, "Btw 18&amp;35", C771&lt;51, "Btw 36&amp;50", C771&lt;66, "Btw 51&amp;65", C771&gt;=66," 66&amp;Above")</f>
        <v xml:space="preserve"> 66&amp;Above</v>
      </c>
    </row>
    <row r="772" spans="1:16">
      <c r="A772" t="s">
        <v>1400</v>
      </c>
      <c r="B772" t="s">
        <v>1206</v>
      </c>
      <c r="C772">
        <v>32</v>
      </c>
      <c r="D772" t="s">
        <v>18</v>
      </c>
      <c r="E772" s="2">
        <v>45402</v>
      </c>
      <c r="F772" s="2">
        <v>45403</v>
      </c>
      <c r="G772" t="s">
        <v>23</v>
      </c>
      <c r="H772" t="s">
        <v>333</v>
      </c>
      <c r="I772" s="3">
        <v>2383.8000000000002</v>
      </c>
      <c r="J772" t="s">
        <v>15</v>
      </c>
      <c r="K772" s="4">
        <v>0.7</v>
      </c>
      <c r="L772" s="3">
        <f t="shared" si="48"/>
        <v>1668.66</v>
      </c>
      <c r="M772" s="3">
        <f t="shared" si="49"/>
        <v>715.14000000000021</v>
      </c>
      <c r="N772">
        <f t="shared" si="50"/>
        <v>1</v>
      </c>
      <c r="O772" s="3">
        <f t="shared" si="51"/>
        <v>2383.8000000000002</v>
      </c>
      <c r="P772" t="str" cm="1">
        <f t="array" ref="P772">_xlfn.IFS(C772&lt;18, "Under 18", C772&lt;36, "Btw 18&amp;35", C772&lt;51, "Btw 36&amp;50", C772&lt;66, "Btw 51&amp;65", C772&gt;=66," 66&amp;Above")</f>
        <v>Btw 18&amp;35</v>
      </c>
    </row>
    <row r="773" spans="1:16">
      <c r="A773" t="s">
        <v>1401</v>
      </c>
      <c r="B773" t="s">
        <v>1402</v>
      </c>
      <c r="C773">
        <v>51</v>
      </c>
      <c r="D773" t="s">
        <v>18</v>
      </c>
      <c r="E773" s="2">
        <v>45297</v>
      </c>
      <c r="F773" s="2">
        <v>45300</v>
      </c>
      <c r="G773" t="s">
        <v>31</v>
      </c>
      <c r="H773" t="s">
        <v>114</v>
      </c>
      <c r="I773" s="3">
        <v>1901.75</v>
      </c>
      <c r="J773" t="s">
        <v>20</v>
      </c>
      <c r="K773" s="4">
        <v>0.7</v>
      </c>
      <c r="L773" s="3">
        <f t="shared" si="48"/>
        <v>1331.2249999999999</v>
      </c>
      <c r="M773" s="3">
        <f t="shared" si="49"/>
        <v>570.52500000000009</v>
      </c>
      <c r="N773">
        <f t="shared" si="50"/>
        <v>3</v>
      </c>
      <c r="O773" s="3">
        <f t="shared" si="51"/>
        <v>0</v>
      </c>
      <c r="P773" t="str" cm="1">
        <f t="array" ref="P773">_xlfn.IFS(C773&lt;18, "Under 18", C773&lt;36, "Btw 18&amp;35", C773&lt;51, "Btw 36&amp;50", C773&lt;66, "Btw 51&amp;65", C773&gt;=66," 66&amp;Above")</f>
        <v>Btw 51&amp;65</v>
      </c>
    </row>
    <row r="774" spans="1:16">
      <c r="A774" t="s">
        <v>1403</v>
      </c>
      <c r="B774" t="s">
        <v>846</v>
      </c>
      <c r="C774">
        <v>55</v>
      </c>
      <c r="D774" t="s">
        <v>12</v>
      </c>
      <c r="E774" s="2">
        <v>45832</v>
      </c>
      <c r="F774" s="2">
        <v>45835</v>
      </c>
      <c r="G774" t="s">
        <v>23</v>
      </c>
      <c r="H774" t="s">
        <v>28</v>
      </c>
      <c r="I774" s="3">
        <v>5558.16</v>
      </c>
      <c r="J774" t="s">
        <v>15</v>
      </c>
      <c r="K774" s="4">
        <v>0.6</v>
      </c>
      <c r="L774" s="3">
        <f t="shared" si="48"/>
        <v>3334.8959999999997</v>
      </c>
      <c r="M774" s="3">
        <f t="shared" si="49"/>
        <v>2223.2640000000001</v>
      </c>
      <c r="N774">
        <f t="shared" si="50"/>
        <v>3</v>
      </c>
      <c r="O774" s="3">
        <f t="shared" si="51"/>
        <v>5558.16</v>
      </c>
      <c r="P774" t="str" cm="1">
        <f t="array" ref="P774">_xlfn.IFS(C774&lt;18, "Under 18", C774&lt;36, "Btw 18&amp;35", C774&lt;51, "Btw 36&amp;50", C774&lt;66, "Btw 51&amp;65", C774&gt;=66," 66&amp;Above")</f>
        <v>Btw 51&amp;65</v>
      </c>
    </row>
    <row r="775" spans="1:16">
      <c r="A775" t="s">
        <v>1404</v>
      </c>
      <c r="B775" t="s">
        <v>1405</v>
      </c>
      <c r="C775">
        <v>34</v>
      </c>
      <c r="D775" t="s">
        <v>12</v>
      </c>
      <c r="E775" s="2">
        <v>45805</v>
      </c>
      <c r="F775" s="2">
        <v>45812</v>
      </c>
      <c r="G775" t="s">
        <v>31</v>
      </c>
      <c r="H775" t="s">
        <v>87</v>
      </c>
      <c r="I775" s="3">
        <v>4500.7</v>
      </c>
      <c r="J775" t="s">
        <v>15</v>
      </c>
      <c r="K775" s="4">
        <v>0.9</v>
      </c>
      <c r="L775" s="3">
        <f t="shared" si="48"/>
        <v>4050.63</v>
      </c>
      <c r="M775" s="3">
        <f t="shared" si="49"/>
        <v>450.06999999999988</v>
      </c>
      <c r="N775">
        <f t="shared" si="50"/>
        <v>7</v>
      </c>
      <c r="O775" s="3">
        <f t="shared" si="51"/>
        <v>4500.7</v>
      </c>
      <c r="P775" t="str" cm="1">
        <f t="array" ref="P775">_xlfn.IFS(C775&lt;18, "Under 18", C775&lt;36, "Btw 18&amp;35", C775&lt;51, "Btw 36&amp;50", C775&lt;66, "Btw 51&amp;65", C775&gt;=66," 66&amp;Above")</f>
        <v>Btw 18&amp;35</v>
      </c>
    </row>
    <row r="776" spans="1:16">
      <c r="A776" t="s">
        <v>1406</v>
      </c>
      <c r="B776" t="s">
        <v>1407</v>
      </c>
      <c r="C776">
        <v>81</v>
      </c>
      <c r="D776" t="s">
        <v>12</v>
      </c>
      <c r="E776" s="2">
        <v>45699</v>
      </c>
      <c r="F776" s="2">
        <v>45704</v>
      </c>
      <c r="G776" t="s">
        <v>13</v>
      </c>
      <c r="H776" t="s">
        <v>38</v>
      </c>
      <c r="I776" s="3">
        <v>9036.9</v>
      </c>
      <c r="J776" t="s">
        <v>20</v>
      </c>
      <c r="K776" s="4">
        <v>0.5</v>
      </c>
      <c r="L776" s="3">
        <f t="shared" si="48"/>
        <v>4518.45</v>
      </c>
      <c r="M776" s="3">
        <f t="shared" si="49"/>
        <v>4518.45</v>
      </c>
      <c r="N776">
        <f t="shared" si="50"/>
        <v>5</v>
      </c>
      <c r="O776" s="3">
        <f t="shared" si="51"/>
        <v>0</v>
      </c>
      <c r="P776" t="str" cm="1">
        <f t="array" ref="P776">_xlfn.IFS(C776&lt;18, "Under 18", C776&lt;36, "Btw 18&amp;35", C776&lt;51, "Btw 36&amp;50", C776&lt;66, "Btw 51&amp;65", C776&gt;=66," 66&amp;Above")</f>
        <v xml:space="preserve"> 66&amp;Above</v>
      </c>
    </row>
    <row r="777" spans="1:16">
      <c r="A777" t="s">
        <v>1408</v>
      </c>
      <c r="B777" t="s">
        <v>1409</v>
      </c>
      <c r="C777">
        <v>83</v>
      </c>
      <c r="D777" t="s">
        <v>12</v>
      </c>
      <c r="E777" s="2">
        <v>45827</v>
      </c>
      <c r="F777" s="2">
        <v>45832</v>
      </c>
      <c r="G777" t="s">
        <v>31</v>
      </c>
      <c r="H777" t="s">
        <v>234</v>
      </c>
      <c r="I777" s="3">
        <v>4404.2299999999996</v>
      </c>
      <c r="J777" t="s">
        <v>25</v>
      </c>
      <c r="K777" s="4">
        <v>0.5</v>
      </c>
      <c r="L777" s="3">
        <f t="shared" si="48"/>
        <v>2202.1149999999998</v>
      </c>
      <c r="M777" s="3">
        <f t="shared" si="49"/>
        <v>2202.1149999999998</v>
      </c>
      <c r="N777">
        <f t="shared" si="50"/>
        <v>5</v>
      </c>
      <c r="O777" s="3">
        <f t="shared" si="51"/>
        <v>0</v>
      </c>
      <c r="P777" t="str" cm="1">
        <f t="array" ref="P777">_xlfn.IFS(C777&lt;18, "Under 18", C777&lt;36, "Btw 18&amp;35", C777&lt;51, "Btw 36&amp;50", C777&lt;66, "Btw 51&amp;65", C777&gt;=66," 66&amp;Above")</f>
        <v xml:space="preserve"> 66&amp;Above</v>
      </c>
    </row>
    <row r="778" spans="1:16">
      <c r="A778" t="s">
        <v>1410</v>
      </c>
      <c r="B778" t="s">
        <v>1115</v>
      </c>
      <c r="C778">
        <v>51</v>
      </c>
      <c r="D778" t="s">
        <v>12</v>
      </c>
      <c r="E778" s="2">
        <v>45465</v>
      </c>
      <c r="F778" s="2">
        <v>45470</v>
      </c>
      <c r="G778" t="s">
        <v>31</v>
      </c>
      <c r="H778" t="s">
        <v>114</v>
      </c>
      <c r="I778" s="3">
        <v>4907.47</v>
      </c>
      <c r="J778" t="s">
        <v>15</v>
      </c>
      <c r="K778" s="4">
        <v>0.8</v>
      </c>
      <c r="L778" s="3">
        <f t="shared" si="48"/>
        <v>3925.9760000000006</v>
      </c>
      <c r="M778" s="3">
        <f t="shared" si="49"/>
        <v>981.4939999999998</v>
      </c>
      <c r="N778">
        <f t="shared" si="50"/>
        <v>5</v>
      </c>
      <c r="O778" s="3">
        <f t="shared" si="51"/>
        <v>4907.47</v>
      </c>
      <c r="P778" t="str" cm="1">
        <f t="array" ref="P778">_xlfn.IFS(C778&lt;18, "Under 18", C778&lt;36, "Btw 18&amp;35", C778&lt;51, "Btw 36&amp;50", C778&lt;66, "Btw 51&amp;65", C778&gt;=66," 66&amp;Above")</f>
        <v>Btw 51&amp;65</v>
      </c>
    </row>
    <row r="779" spans="1:16">
      <c r="A779" t="s">
        <v>1411</v>
      </c>
      <c r="B779" t="s">
        <v>1412</v>
      </c>
      <c r="C779">
        <v>71</v>
      </c>
      <c r="D779" t="s">
        <v>12</v>
      </c>
      <c r="E779" s="2">
        <v>45731</v>
      </c>
      <c r="F779" s="2">
        <v>45741</v>
      </c>
      <c r="G779" t="s">
        <v>13</v>
      </c>
      <c r="H779" t="s">
        <v>14</v>
      </c>
      <c r="I779" s="3">
        <v>26768.21</v>
      </c>
      <c r="J779" t="s">
        <v>25</v>
      </c>
      <c r="K779" s="4">
        <v>1</v>
      </c>
      <c r="L779" s="3">
        <f t="shared" si="48"/>
        <v>26768.21</v>
      </c>
      <c r="M779" s="3">
        <f t="shared" si="49"/>
        <v>0</v>
      </c>
      <c r="N779">
        <f t="shared" si="50"/>
        <v>10</v>
      </c>
      <c r="O779" s="3">
        <f t="shared" si="51"/>
        <v>0</v>
      </c>
      <c r="P779" t="str" cm="1">
        <f t="array" ref="P779">_xlfn.IFS(C779&lt;18, "Under 18", C779&lt;36, "Btw 18&amp;35", C779&lt;51, "Btw 36&amp;50", C779&lt;66, "Btw 51&amp;65", C779&gt;=66," 66&amp;Above")</f>
        <v xml:space="preserve"> 66&amp;Above</v>
      </c>
    </row>
    <row r="780" spans="1:16">
      <c r="A780" t="s">
        <v>1413</v>
      </c>
      <c r="B780" t="s">
        <v>1414</v>
      </c>
      <c r="C780">
        <v>85</v>
      </c>
      <c r="D780" t="s">
        <v>18</v>
      </c>
      <c r="E780" s="2">
        <v>45811</v>
      </c>
      <c r="F780" s="2">
        <v>45815</v>
      </c>
      <c r="G780" t="s">
        <v>31</v>
      </c>
      <c r="H780" t="s">
        <v>44</v>
      </c>
      <c r="I780" s="3">
        <v>2615.96</v>
      </c>
      <c r="J780" t="s">
        <v>15</v>
      </c>
      <c r="K780" s="4">
        <v>1</v>
      </c>
      <c r="L780" s="3">
        <f t="shared" si="48"/>
        <v>2615.96</v>
      </c>
      <c r="M780" s="3">
        <f t="shared" si="49"/>
        <v>0</v>
      </c>
      <c r="N780">
        <f t="shared" si="50"/>
        <v>4</v>
      </c>
      <c r="O780" s="3">
        <f t="shared" si="51"/>
        <v>2615.96</v>
      </c>
      <c r="P780" t="str" cm="1">
        <f t="array" ref="P780">_xlfn.IFS(C780&lt;18, "Under 18", C780&lt;36, "Btw 18&amp;35", C780&lt;51, "Btw 36&amp;50", C780&lt;66, "Btw 51&amp;65", C780&gt;=66," 66&amp;Above")</f>
        <v xml:space="preserve"> 66&amp;Above</v>
      </c>
    </row>
    <row r="781" spans="1:16">
      <c r="A781" t="s">
        <v>1415</v>
      </c>
      <c r="B781" t="s">
        <v>1416</v>
      </c>
      <c r="C781">
        <v>74</v>
      </c>
      <c r="D781" t="s">
        <v>12</v>
      </c>
      <c r="E781" s="2">
        <v>46008</v>
      </c>
      <c r="F781" s="2">
        <v>46014</v>
      </c>
      <c r="G781" t="s">
        <v>31</v>
      </c>
      <c r="H781" t="s">
        <v>234</v>
      </c>
      <c r="I781" s="3">
        <v>7371.54</v>
      </c>
      <c r="J781" t="s">
        <v>25</v>
      </c>
      <c r="K781" s="4">
        <v>0.7</v>
      </c>
      <c r="L781" s="3">
        <f t="shared" si="48"/>
        <v>5160.0779999999995</v>
      </c>
      <c r="M781" s="3">
        <f t="shared" si="49"/>
        <v>2211.4620000000004</v>
      </c>
      <c r="N781">
        <f t="shared" si="50"/>
        <v>6</v>
      </c>
      <c r="O781" s="3">
        <f t="shared" si="51"/>
        <v>0</v>
      </c>
      <c r="P781" t="str" cm="1">
        <f t="array" ref="P781">_xlfn.IFS(C781&lt;18, "Under 18", C781&lt;36, "Btw 18&amp;35", C781&lt;51, "Btw 36&amp;50", C781&lt;66, "Btw 51&amp;65", C781&gt;=66," 66&amp;Above")</f>
        <v xml:space="preserve"> 66&amp;Above</v>
      </c>
    </row>
    <row r="782" spans="1:16">
      <c r="A782" t="s">
        <v>1417</v>
      </c>
      <c r="B782" t="s">
        <v>1418</v>
      </c>
      <c r="C782">
        <v>74</v>
      </c>
      <c r="D782" t="s">
        <v>18</v>
      </c>
      <c r="E782" s="2">
        <v>45657</v>
      </c>
      <c r="F782" s="2">
        <v>45658</v>
      </c>
      <c r="G782" t="s">
        <v>23</v>
      </c>
      <c r="H782" t="s">
        <v>204</v>
      </c>
      <c r="I782" s="3">
        <v>1984.12</v>
      </c>
      <c r="J782" t="s">
        <v>20</v>
      </c>
      <c r="K782" s="4">
        <v>0.7</v>
      </c>
      <c r="L782" s="3">
        <f t="shared" si="48"/>
        <v>1388.8839999999998</v>
      </c>
      <c r="M782" s="3">
        <f t="shared" si="49"/>
        <v>595.2360000000001</v>
      </c>
      <c r="N782">
        <f t="shared" si="50"/>
        <v>1</v>
      </c>
      <c r="O782" s="3">
        <f t="shared" si="51"/>
        <v>0</v>
      </c>
      <c r="P782" t="str" cm="1">
        <f t="array" ref="P782">_xlfn.IFS(C782&lt;18, "Under 18", C782&lt;36, "Btw 18&amp;35", C782&lt;51, "Btw 36&amp;50", C782&lt;66, "Btw 51&amp;65", C782&gt;=66," 66&amp;Above")</f>
        <v xml:space="preserve"> 66&amp;Above</v>
      </c>
    </row>
    <row r="783" spans="1:16">
      <c r="A783" t="s">
        <v>1419</v>
      </c>
      <c r="B783" t="s">
        <v>1182</v>
      </c>
      <c r="C783">
        <v>42</v>
      </c>
      <c r="D783" t="s">
        <v>18</v>
      </c>
      <c r="E783" s="2">
        <v>45755</v>
      </c>
      <c r="F783" s="2">
        <v>45761</v>
      </c>
      <c r="G783" t="s">
        <v>70</v>
      </c>
      <c r="H783" t="s">
        <v>94</v>
      </c>
      <c r="I783" s="3">
        <v>15265.35</v>
      </c>
      <c r="J783" t="s">
        <v>15</v>
      </c>
      <c r="K783" s="4">
        <v>1</v>
      </c>
      <c r="L783" s="3">
        <f t="shared" si="48"/>
        <v>15265.35</v>
      </c>
      <c r="M783" s="3">
        <f t="shared" si="49"/>
        <v>0</v>
      </c>
      <c r="N783">
        <f t="shared" si="50"/>
        <v>6</v>
      </c>
      <c r="O783" s="3">
        <f t="shared" si="51"/>
        <v>15265.35</v>
      </c>
      <c r="P783" t="str" cm="1">
        <f t="array" ref="P783">_xlfn.IFS(C783&lt;18, "Under 18", C783&lt;36, "Btw 18&amp;35", C783&lt;51, "Btw 36&amp;50", C783&lt;66, "Btw 51&amp;65", C783&gt;=66," 66&amp;Above")</f>
        <v>Btw 36&amp;50</v>
      </c>
    </row>
    <row r="784" spans="1:16">
      <c r="A784" t="s">
        <v>1420</v>
      </c>
      <c r="B784" t="s">
        <v>1421</v>
      </c>
      <c r="C784">
        <v>43</v>
      </c>
      <c r="D784" t="s">
        <v>12</v>
      </c>
      <c r="E784" s="2">
        <v>45574</v>
      </c>
      <c r="F784" s="2">
        <v>45585</v>
      </c>
      <c r="G784" t="s">
        <v>70</v>
      </c>
      <c r="H784" t="s">
        <v>295</v>
      </c>
      <c r="I784" s="3">
        <v>24895.77</v>
      </c>
      <c r="J784" t="s">
        <v>15</v>
      </c>
      <c r="K784" s="4">
        <v>0.8</v>
      </c>
      <c r="L784" s="3">
        <f t="shared" si="48"/>
        <v>19916.616000000002</v>
      </c>
      <c r="M784" s="3">
        <f t="shared" si="49"/>
        <v>4979.1539999999986</v>
      </c>
      <c r="N784">
        <f t="shared" si="50"/>
        <v>11</v>
      </c>
      <c r="O784" s="3">
        <f t="shared" si="51"/>
        <v>24895.77</v>
      </c>
      <c r="P784" t="str" cm="1">
        <f t="array" ref="P784">_xlfn.IFS(C784&lt;18, "Under 18", C784&lt;36, "Btw 18&amp;35", C784&lt;51, "Btw 36&amp;50", C784&lt;66, "Btw 51&amp;65", C784&gt;=66," 66&amp;Above")</f>
        <v>Btw 36&amp;50</v>
      </c>
    </row>
    <row r="785" spans="1:16">
      <c r="A785" t="s">
        <v>1422</v>
      </c>
      <c r="B785" t="s">
        <v>1135</v>
      </c>
      <c r="C785">
        <v>43</v>
      </c>
      <c r="D785" t="s">
        <v>18</v>
      </c>
      <c r="E785" s="2">
        <v>45743</v>
      </c>
      <c r="F785" s="2">
        <v>45747</v>
      </c>
      <c r="G785" t="s">
        <v>31</v>
      </c>
      <c r="H785" t="s">
        <v>35</v>
      </c>
      <c r="I785" s="3">
        <v>2392.67</v>
      </c>
      <c r="J785" t="s">
        <v>25</v>
      </c>
      <c r="K785" s="4">
        <v>0.6</v>
      </c>
      <c r="L785" s="3">
        <f t="shared" si="48"/>
        <v>1435.6020000000001</v>
      </c>
      <c r="M785" s="3">
        <f t="shared" si="49"/>
        <v>957.0680000000001</v>
      </c>
      <c r="N785">
        <f t="shared" si="50"/>
        <v>4</v>
      </c>
      <c r="O785" s="3">
        <f t="shared" si="51"/>
        <v>0</v>
      </c>
      <c r="P785" t="str" cm="1">
        <f t="array" ref="P785">_xlfn.IFS(C785&lt;18, "Under 18", C785&lt;36, "Btw 18&amp;35", C785&lt;51, "Btw 36&amp;50", C785&lt;66, "Btw 51&amp;65", C785&gt;=66," 66&amp;Above")</f>
        <v>Btw 36&amp;50</v>
      </c>
    </row>
    <row r="786" spans="1:16">
      <c r="A786" t="s">
        <v>1423</v>
      </c>
      <c r="B786" t="s">
        <v>208</v>
      </c>
      <c r="C786">
        <v>23</v>
      </c>
      <c r="D786" t="s">
        <v>18</v>
      </c>
      <c r="E786" s="2">
        <v>45634</v>
      </c>
      <c r="F786" s="2">
        <v>45635</v>
      </c>
      <c r="G786" t="s">
        <v>31</v>
      </c>
      <c r="H786" t="s">
        <v>114</v>
      </c>
      <c r="I786" s="3">
        <v>1000.43</v>
      </c>
      <c r="J786" t="s">
        <v>15</v>
      </c>
      <c r="K786" s="4">
        <v>0.9</v>
      </c>
      <c r="L786" s="3">
        <f t="shared" si="48"/>
        <v>900.38699999999994</v>
      </c>
      <c r="M786" s="3">
        <f t="shared" si="49"/>
        <v>100.04299999999998</v>
      </c>
      <c r="N786">
        <f t="shared" si="50"/>
        <v>1</v>
      </c>
      <c r="O786" s="3">
        <f t="shared" si="51"/>
        <v>1000.43</v>
      </c>
      <c r="P786" t="str" cm="1">
        <f t="array" ref="P786">_xlfn.IFS(C786&lt;18, "Under 18", C786&lt;36, "Btw 18&amp;35", C786&lt;51, "Btw 36&amp;50", C786&lt;66, "Btw 51&amp;65", C786&gt;=66," 66&amp;Above")</f>
        <v>Btw 18&amp;35</v>
      </c>
    </row>
    <row r="787" spans="1:16">
      <c r="A787" t="s">
        <v>1424</v>
      </c>
      <c r="B787" t="s">
        <v>553</v>
      </c>
      <c r="C787">
        <v>58</v>
      </c>
      <c r="D787" t="s">
        <v>12</v>
      </c>
      <c r="E787" s="2">
        <v>45709</v>
      </c>
      <c r="F787" s="2">
        <v>45713</v>
      </c>
      <c r="G787" t="s">
        <v>70</v>
      </c>
      <c r="H787" t="s">
        <v>237</v>
      </c>
      <c r="I787" s="3">
        <v>10299</v>
      </c>
      <c r="J787" t="s">
        <v>15</v>
      </c>
      <c r="K787" s="4">
        <v>0.9</v>
      </c>
      <c r="L787" s="3">
        <f t="shared" si="48"/>
        <v>9269.1</v>
      </c>
      <c r="M787" s="3">
        <f t="shared" si="49"/>
        <v>1029.8999999999999</v>
      </c>
      <c r="N787">
        <f t="shared" si="50"/>
        <v>4</v>
      </c>
      <c r="O787" s="3">
        <f t="shared" si="51"/>
        <v>10299</v>
      </c>
      <c r="P787" t="str" cm="1">
        <f t="array" ref="P787">_xlfn.IFS(C787&lt;18, "Under 18", C787&lt;36, "Btw 18&amp;35", C787&lt;51, "Btw 36&amp;50", C787&lt;66, "Btw 51&amp;65", C787&gt;=66," 66&amp;Above")</f>
        <v>Btw 51&amp;65</v>
      </c>
    </row>
    <row r="788" spans="1:16">
      <c r="A788" t="s">
        <v>1425</v>
      </c>
      <c r="B788" t="s">
        <v>618</v>
      </c>
      <c r="C788">
        <v>58</v>
      </c>
      <c r="D788" t="s">
        <v>18</v>
      </c>
      <c r="E788" s="2">
        <v>45574</v>
      </c>
      <c r="F788" s="2">
        <v>45584</v>
      </c>
      <c r="G788" t="s">
        <v>70</v>
      </c>
      <c r="H788" t="s">
        <v>157</v>
      </c>
      <c r="I788" s="3">
        <v>25129.38</v>
      </c>
      <c r="J788" t="s">
        <v>15</v>
      </c>
      <c r="K788" s="4">
        <v>0.9</v>
      </c>
      <c r="L788" s="3">
        <f t="shared" si="48"/>
        <v>22616.442000000003</v>
      </c>
      <c r="M788" s="3">
        <f t="shared" si="49"/>
        <v>2512.9379999999996</v>
      </c>
      <c r="N788">
        <f t="shared" si="50"/>
        <v>10</v>
      </c>
      <c r="O788" s="3">
        <f t="shared" si="51"/>
        <v>25129.38</v>
      </c>
      <c r="P788" t="str" cm="1">
        <f t="array" ref="P788">_xlfn.IFS(C788&lt;18, "Under 18", C788&lt;36, "Btw 18&amp;35", C788&lt;51, "Btw 36&amp;50", C788&lt;66, "Btw 51&amp;65", C788&gt;=66," 66&amp;Above")</f>
        <v>Btw 51&amp;65</v>
      </c>
    </row>
    <row r="789" spans="1:16">
      <c r="A789" t="s">
        <v>1426</v>
      </c>
      <c r="B789" t="s">
        <v>1427</v>
      </c>
      <c r="C789">
        <v>9</v>
      </c>
      <c r="D789" t="s">
        <v>12</v>
      </c>
      <c r="E789" s="2">
        <v>45418</v>
      </c>
      <c r="F789" s="2">
        <v>45423</v>
      </c>
      <c r="G789" t="s">
        <v>49</v>
      </c>
      <c r="H789" t="s">
        <v>117</v>
      </c>
      <c r="I789" s="3">
        <v>6735.15</v>
      </c>
      <c r="J789" t="s">
        <v>25</v>
      </c>
      <c r="K789" s="4">
        <v>1</v>
      </c>
      <c r="L789" s="3">
        <f t="shared" si="48"/>
        <v>6735.15</v>
      </c>
      <c r="M789" s="3">
        <f t="shared" si="49"/>
        <v>0</v>
      </c>
      <c r="N789">
        <f t="shared" si="50"/>
        <v>5</v>
      </c>
      <c r="O789" s="3">
        <f t="shared" si="51"/>
        <v>0</v>
      </c>
      <c r="P789" t="str" cm="1">
        <f t="array" ref="P789">_xlfn.IFS(C789&lt;18, "Under 18", C789&lt;36, "Btw 18&amp;35", C789&lt;51, "Btw 36&amp;50", C789&lt;66, "Btw 51&amp;65", C789&gt;=66," 66&amp;Above")</f>
        <v>Under 18</v>
      </c>
    </row>
    <row r="790" spans="1:16">
      <c r="A790" t="s">
        <v>1428</v>
      </c>
      <c r="B790" t="s">
        <v>835</v>
      </c>
      <c r="C790">
        <v>62</v>
      </c>
      <c r="D790" t="s">
        <v>18</v>
      </c>
      <c r="E790" s="2">
        <v>45530</v>
      </c>
      <c r="F790" s="2">
        <v>45540</v>
      </c>
      <c r="G790" t="s">
        <v>13</v>
      </c>
      <c r="H790" t="s">
        <v>111</v>
      </c>
      <c r="I790" s="3">
        <v>20130.14</v>
      </c>
      <c r="J790" t="s">
        <v>15</v>
      </c>
      <c r="K790" s="4">
        <v>0.7</v>
      </c>
      <c r="L790" s="3">
        <f t="shared" si="48"/>
        <v>14091.097999999998</v>
      </c>
      <c r="M790" s="3">
        <f t="shared" si="49"/>
        <v>6039.0420000000004</v>
      </c>
      <c r="N790">
        <f t="shared" si="50"/>
        <v>10</v>
      </c>
      <c r="O790" s="3">
        <f t="shared" si="51"/>
        <v>20130.14</v>
      </c>
      <c r="P790" t="str" cm="1">
        <f t="array" ref="P790">_xlfn.IFS(C790&lt;18, "Under 18", C790&lt;36, "Btw 18&amp;35", C790&lt;51, "Btw 36&amp;50", C790&lt;66, "Btw 51&amp;65", C790&gt;=66," 66&amp;Above")</f>
        <v>Btw 51&amp;65</v>
      </c>
    </row>
    <row r="791" spans="1:16">
      <c r="A791" t="s">
        <v>1429</v>
      </c>
      <c r="B791" t="s">
        <v>1430</v>
      </c>
      <c r="C791">
        <v>3</v>
      </c>
      <c r="D791" t="s">
        <v>12</v>
      </c>
      <c r="E791" s="2">
        <v>45349</v>
      </c>
      <c r="F791" s="2">
        <v>45350</v>
      </c>
      <c r="G791" t="s">
        <v>49</v>
      </c>
      <c r="H791" t="s">
        <v>378</v>
      </c>
      <c r="I791" s="3">
        <v>1138.69</v>
      </c>
      <c r="J791" t="s">
        <v>15</v>
      </c>
      <c r="K791" s="4">
        <v>0.8</v>
      </c>
      <c r="L791" s="3">
        <f t="shared" si="48"/>
        <v>910.95200000000011</v>
      </c>
      <c r="M791" s="3">
        <f t="shared" si="49"/>
        <v>227.73799999999997</v>
      </c>
      <c r="N791">
        <f t="shared" si="50"/>
        <v>1</v>
      </c>
      <c r="O791" s="3">
        <f t="shared" si="51"/>
        <v>1138.69</v>
      </c>
      <c r="P791" t="str" cm="1">
        <f t="array" ref="P791">_xlfn.IFS(C791&lt;18, "Under 18", C791&lt;36, "Btw 18&amp;35", C791&lt;51, "Btw 36&amp;50", C791&lt;66, "Btw 51&amp;65", C791&gt;=66," 66&amp;Above")</f>
        <v>Under 18</v>
      </c>
    </row>
    <row r="792" spans="1:16">
      <c r="A792" t="s">
        <v>1431</v>
      </c>
      <c r="B792" t="s">
        <v>566</v>
      </c>
      <c r="C792">
        <v>75</v>
      </c>
      <c r="D792" t="s">
        <v>12</v>
      </c>
      <c r="E792" s="2">
        <v>45919</v>
      </c>
      <c r="F792" s="2">
        <v>45932</v>
      </c>
      <c r="G792" t="s">
        <v>60</v>
      </c>
      <c r="H792" t="s">
        <v>97</v>
      </c>
      <c r="I792" s="3">
        <v>17304.05</v>
      </c>
      <c r="J792" t="s">
        <v>15</v>
      </c>
      <c r="K792" s="4">
        <v>0.8</v>
      </c>
      <c r="L792" s="3">
        <f t="shared" si="48"/>
        <v>13843.24</v>
      </c>
      <c r="M792" s="3">
        <f t="shared" si="49"/>
        <v>3460.809999999999</v>
      </c>
      <c r="N792">
        <f t="shared" si="50"/>
        <v>13</v>
      </c>
      <c r="O792" s="3">
        <f t="shared" si="51"/>
        <v>17304.05</v>
      </c>
      <c r="P792" t="str" cm="1">
        <f t="array" ref="P792">_xlfn.IFS(C792&lt;18, "Under 18", C792&lt;36, "Btw 18&amp;35", C792&lt;51, "Btw 36&amp;50", C792&lt;66, "Btw 51&amp;65", C792&gt;=66," 66&amp;Above")</f>
        <v xml:space="preserve"> 66&amp;Above</v>
      </c>
    </row>
    <row r="793" spans="1:16">
      <c r="A793" t="s">
        <v>1432</v>
      </c>
      <c r="B793" t="s">
        <v>1433</v>
      </c>
      <c r="C793">
        <v>66</v>
      </c>
      <c r="D793" t="s">
        <v>18</v>
      </c>
      <c r="E793" s="2">
        <v>45666</v>
      </c>
      <c r="F793" s="2">
        <v>45670</v>
      </c>
      <c r="G793" t="s">
        <v>31</v>
      </c>
      <c r="H793" t="s">
        <v>234</v>
      </c>
      <c r="I793" s="3">
        <v>2563.36</v>
      </c>
      <c r="J793" t="s">
        <v>15</v>
      </c>
      <c r="K793" s="4">
        <v>0.7</v>
      </c>
      <c r="L793" s="3">
        <f t="shared" si="48"/>
        <v>1794.3519999999999</v>
      </c>
      <c r="M793" s="3">
        <f t="shared" si="49"/>
        <v>769.00800000000015</v>
      </c>
      <c r="N793">
        <f t="shared" si="50"/>
        <v>4</v>
      </c>
      <c r="O793" s="3">
        <f t="shared" si="51"/>
        <v>2563.36</v>
      </c>
      <c r="P793" t="str" cm="1">
        <f t="array" ref="P793">_xlfn.IFS(C793&lt;18, "Under 18", C793&lt;36, "Btw 18&amp;35", C793&lt;51, "Btw 36&amp;50", C793&lt;66, "Btw 51&amp;65", C793&gt;=66," 66&amp;Above")</f>
        <v xml:space="preserve"> 66&amp;Above</v>
      </c>
    </row>
    <row r="794" spans="1:16">
      <c r="A794" t="s">
        <v>1434</v>
      </c>
      <c r="B794" t="s">
        <v>1022</v>
      </c>
      <c r="C794">
        <v>73</v>
      </c>
      <c r="D794" t="s">
        <v>18</v>
      </c>
      <c r="E794" s="2">
        <v>45886</v>
      </c>
      <c r="F794" s="2">
        <v>45892</v>
      </c>
      <c r="G794" t="s">
        <v>31</v>
      </c>
      <c r="H794" t="s">
        <v>32</v>
      </c>
      <c r="I794" s="3">
        <v>5938.64</v>
      </c>
      <c r="J794" t="s">
        <v>15</v>
      </c>
      <c r="K794" s="4">
        <v>0.8</v>
      </c>
      <c r="L794" s="3">
        <f t="shared" si="48"/>
        <v>4750.9120000000003</v>
      </c>
      <c r="M794" s="3">
        <f t="shared" si="49"/>
        <v>1187.7279999999998</v>
      </c>
      <c r="N794">
        <f t="shared" si="50"/>
        <v>6</v>
      </c>
      <c r="O794" s="3">
        <f t="shared" si="51"/>
        <v>5938.64</v>
      </c>
      <c r="P794" t="str" cm="1">
        <f t="array" ref="P794">_xlfn.IFS(C794&lt;18, "Under 18", C794&lt;36, "Btw 18&amp;35", C794&lt;51, "Btw 36&amp;50", C794&lt;66, "Btw 51&amp;65", C794&gt;=66," 66&amp;Above")</f>
        <v xml:space="preserve"> 66&amp;Above</v>
      </c>
    </row>
    <row r="795" spans="1:16">
      <c r="A795" t="s">
        <v>1435</v>
      </c>
      <c r="B795" t="s">
        <v>630</v>
      </c>
      <c r="C795">
        <v>58</v>
      </c>
      <c r="D795" t="s">
        <v>12</v>
      </c>
      <c r="E795" s="2">
        <v>45763</v>
      </c>
      <c r="F795" s="2">
        <v>45766</v>
      </c>
      <c r="G795" t="s">
        <v>60</v>
      </c>
      <c r="H795" t="s">
        <v>74</v>
      </c>
      <c r="I795" s="3">
        <v>6946.39</v>
      </c>
      <c r="J795" t="s">
        <v>15</v>
      </c>
      <c r="K795" s="4">
        <v>0.9</v>
      </c>
      <c r="L795" s="3">
        <f t="shared" si="48"/>
        <v>6251.7510000000002</v>
      </c>
      <c r="M795" s="3">
        <f t="shared" si="49"/>
        <v>694.6389999999999</v>
      </c>
      <c r="N795">
        <f t="shared" si="50"/>
        <v>3</v>
      </c>
      <c r="O795" s="3">
        <f t="shared" si="51"/>
        <v>6946.39</v>
      </c>
      <c r="P795" t="str" cm="1">
        <f t="array" ref="P795">_xlfn.IFS(C795&lt;18, "Under 18", C795&lt;36, "Btw 18&amp;35", C795&lt;51, "Btw 36&amp;50", C795&lt;66, "Btw 51&amp;65", C795&gt;=66," 66&amp;Above")</f>
        <v>Btw 51&amp;65</v>
      </c>
    </row>
    <row r="796" spans="1:16">
      <c r="A796" t="s">
        <v>1436</v>
      </c>
      <c r="B796" t="s">
        <v>1437</v>
      </c>
      <c r="C796">
        <v>32</v>
      </c>
      <c r="D796" t="s">
        <v>18</v>
      </c>
      <c r="E796" s="2">
        <v>45812</v>
      </c>
      <c r="F796" s="2">
        <v>45823</v>
      </c>
      <c r="G796" t="s">
        <v>70</v>
      </c>
      <c r="H796" t="s">
        <v>194</v>
      </c>
      <c r="I796" s="3">
        <v>15560.38</v>
      </c>
      <c r="J796" t="s">
        <v>15</v>
      </c>
      <c r="K796" s="4">
        <v>0.8</v>
      </c>
      <c r="L796" s="3">
        <f t="shared" si="48"/>
        <v>12448.304</v>
      </c>
      <c r="M796" s="3">
        <f t="shared" si="49"/>
        <v>3112.0759999999991</v>
      </c>
      <c r="N796">
        <f t="shared" si="50"/>
        <v>11</v>
      </c>
      <c r="O796" s="3">
        <f t="shared" si="51"/>
        <v>15560.38</v>
      </c>
      <c r="P796" t="str" cm="1">
        <f t="array" ref="P796">_xlfn.IFS(C796&lt;18, "Under 18", C796&lt;36, "Btw 18&amp;35", C796&lt;51, "Btw 36&amp;50", C796&lt;66, "Btw 51&amp;65", C796&gt;=66," 66&amp;Above")</f>
        <v>Btw 18&amp;35</v>
      </c>
    </row>
    <row r="797" spans="1:16">
      <c r="A797" t="s">
        <v>1438</v>
      </c>
      <c r="B797" t="s">
        <v>1439</v>
      </c>
      <c r="C797">
        <v>14</v>
      </c>
      <c r="D797" t="s">
        <v>12</v>
      </c>
      <c r="E797" s="2">
        <v>45746</v>
      </c>
      <c r="F797" s="2">
        <v>45750</v>
      </c>
      <c r="G797" t="s">
        <v>49</v>
      </c>
      <c r="H797" t="s">
        <v>117</v>
      </c>
      <c r="I797" s="3">
        <v>6667.93</v>
      </c>
      <c r="J797" t="s">
        <v>20</v>
      </c>
      <c r="K797" s="4">
        <v>0.9</v>
      </c>
      <c r="L797" s="3">
        <f t="shared" si="48"/>
        <v>6001.1370000000006</v>
      </c>
      <c r="M797" s="3">
        <f t="shared" si="49"/>
        <v>666.79299999999989</v>
      </c>
      <c r="N797">
        <f t="shared" si="50"/>
        <v>4</v>
      </c>
      <c r="O797" s="3">
        <f t="shared" si="51"/>
        <v>0</v>
      </c>
      <c r="P797" t="str" cm="1">
        <f t="array" ref="P797">_xlfn.IFS(C797&lt;18, "Under 18", C797&lt;36, "Btw 18&amp;35", C797&lt;51, "Btw 36&amp;50", C797&lt;66, "Btw 51&amp;65", C797&gt;=66," 66&amp;Above")</f>
        <v>Under 18</v>
      </c>
    </row>
    <row r="798" spans="1:16">
      <c r="A798" t="s">
        <v>1440</v>
      </c>
      <c r="B798" t="s">
        <v>1312</v>
      </c>
      <c r="C798">
        <v>26</v>
      </c>
      <c r="D798" t="s">
        <v>12</v>
      </c>
      <c r="E798" s="2">
        <v>45305</v>
      </c>
      <c r="F798" s="2">
        <v>45307</v>
      </c>
      <c r="G798" t="s">
        <v>23</v>
      </c>
      <c r="H798" t="s">
        <v>204</v>
      </c>
      <c r="I798" s="3">
        <v>3800.12</v>
      </c>
      <c r="J798" t="s">
        <v>15</v>
      </c>
      <c r="K798" s="4">
        <v>0.7</v>
      </c>
      <c r="L798" s="3">
        <f t="shared" si="48"/>
        <v>2660.0839999999998</v>
      </c>
      <c r="M798" s="3">
        <f t="shared" si="49"/>
        <v>1140.0360000000001</v>
      </c>
      <c r="N798">
        <f t="shared" si="50"/>
        <v>2</v>
      </c>
      <c r="O798" s="3">
        <f t="shared" si="51"/>
        <v>3800.12</v>
      </c>
      <c r="P798" t="str" cm="1">
        <f t="array" ref="P798">_xlfn.IFS(C798&lt;18, "Under 18", C798&lt;36, "Btw 18&amp;35", C798&lt;51, "Btw 36&amp;50", C798&lt;66, "Btw 51&amp;65", C798&gt;=66," 66&amp;Above")</f>
        <v>Btw 18&amp;35</v>
      </c>
    </row>
    <row r="799" spans="1:16">
      <c r="A799" t="s">
        <v>1441</v>
      </c>
      <c r="B799" t="s">
        <v>1442</v>
      </c>
      <c r="C799">
        <v>25</v>
      </c>
      <c r="D799" t="s">
        <v>18</v>
      </c>
      <c r="E799" s="2">
        <v>45344</v>
      </c>
      <c r="F799" s="2">
        <v>45345</v>
      </c>
      <c r="G799" t="s">
        <v>23</v>
      </c>
      <c r="H799" t="s">
        <v>41</v>
      </c>
      <c r="I799" s="3">
        <v>1697.82</v>
      </c>
      <c r="J799" t="s">
        <v>15</v>
      </c>
      <c r="K799" s="4">
        <v>0.8</v>
      </c>
      <c r="L799" s="3">
        <f t="shared" si="48"/>
        <v>1358.2560000000001</v>
      </c>
      <c r="M799" s="3">
        <f t="shared" si="49"/>
        <v>339.56399999999991</v>
      </c>
      <c r="N799">
        <f t="shared" si="50"/>
        <v>1</v>
      </c>
      <c r="O799" s="3">
        <f t="shared" si="51"/>
        <v>1697.82</v>
      </c>
      <c r="P799" t="str" cm="1">
        <f t="array" ref="P799">_xlfn.IFS(C799&lt;18, "Under 18", C799&lt;36, "Btw 18&amp;35", C799&lt;51, "Btw 36&amp;50", C799&lt;66, "Btw 51&amp;65", C799&gt;=66," 66&amp;Above")</f>
        <v>Btw 18&amp;35</v>
      </c>
    </row>
    <row r="800" spans="1:16">
      <c r="A800" t="s">
        <v>1443</v>
      </c>
      <c r="B800" t="s">
        <v>1232</v>
      </c>
      <c r="C800">
        <v>44</v>
      </c>
      <c r="D800" t="s">
        <v>12</v>
      </c>
      <c r="E800" s="2">
        <v>45980</v>
      </c>
      <c r="F800" s="2">
        <v>45983</v>
      </c>
      <c r="G800" t="s">
        <v>13</v>
      </c>
      <c r="H800" t="s">
        <v>165</v>
      </c>
      <c r="I800" s="3">
        <v>8833.89</v>
      </c>
      <c r="J800" t="s">
        <v>15</v>
      </c>
      <c r="K800" s="4">
        <v>1</v>
      </c>
      <c r="L800" s="3">
        <f t="shared" si="48"/>
        <v>8833.89</v>
      </c>
      <c r="M800" s="3">
        <f t="shared" si="49"/>
        <v>0</v>
      </c>
      <c r="N800">
        <f t="shared" si="50"/>
        <v>3</v>
      </c>
      <c r="O800" s="3">
        <f t="shared" si="51"/>
        <v>8833.89</v>
      </c>
      <c r="P800" t="str" cm="1">
        <f t="array" ref="P800">_xlfn.IFS(C800&lt;18, "Under 18", C800&lt;36, "Btw 18&amp;35", C800&lt;51, "Btw 36&amp;50", C800&lt;66, "Btw 51&amp;65", C800&gt;=66," 66&amp;Above")</f>
        <v>Btw 36&amp;50</v>
      </c>
    </row>
    <row r="801" spans="1:16">
      <c r="A801" t="s">
        <v>1444</v>
      </c>
      <c r="B801" t="s">
        <v>1405</v>
      </c>
      <c r="C801">
        <v>52</v>
      </c>
      <c r="D801" t="s">
        <v>12</v>
      </c>
      <c r="E801" s="2">
        <v>45809</v>
      </c>
      <c r="F801" s="2">
        <v>45810</v>
      </c>
      <c r="G801" t="s">
        <v>31</v>
      </c>
      <c r="H801" t="s">
        <v>35</v>
      </c>
      <c r="I801" s="3">
        <v>809.13</v>
      </c>
      <c r="J801" t="s">
        <v>20</v>
      </c>
      <c r="K801" s="4">
        <v>0.6</v>
      </c>
      <c r="L801" s="3">
        <f t="shared" si="48"/>
        <v>485.47799999999995</v>
      </c>
      <c r="M801" s="3">
        <f t="shared" si="49"/>
        <v>323.65200000000004</v>
      </c>
      <c r="N801">
        <f t="shared" si="50"/>
        <v>1</v>
      </c>
      <c r="O801" s="3">
        <f t="shared" si="51"/>
        <v>0</v>
      </c>
      <c r="P801" t="str" cm="1">
        <f t="array" ref="P801">_xlfn.IFS(C801&lt;18, "Under 18", C801&lt;36, "Btw 18&amp;35", C801&lt;51, "Btw 36&amp;50", C801&lt;66, "Btw 51&amp;65", C801&gt;=66," 66&amp;Above")</f>
        <v>Btw 51&amp;65</v>
      </c>
    </row>
    <row r="802" spans="1:16">
      <c r="A802" t="s">
        <v>1445</v>
      </c>
      <c r="B802" t="s">
        <v>1446</v>
      </c>
      <c r="C802">
        <v>66</v>
      </c>
      <c r="D802" t="s">
        <v>12</v>
      </c>
      <c r="E802" s="2">
        <v>45335</v>
      </c>
      <c r="F802" s="2">
        <v>45337</v>
      </c>
      <c r="G802" t="s">
        <v>23</v>
      </c>
      <c r="H802" t="s">
        <v>333</v>
      </c>
      <c r="I802" s="3">
        <v>2529.54</v>
      </c>
      <c r="J802" t="s">
        <v>20</v>
      </c>
      <c r="K802" s="4">
        <v>1</v>
      </c>
      <c r="L802" s="3">
        <f t="shared" si="48"/>
        <v>2529.54</v>
      </c>
      <c r="M802" s="3">
        <f t="shared" si="49"/>
        <v>0</v>
      </c>
      <c r="N802">
        <f t="shared" si="50"/>
        <v>2</v>
      </c>
      <c r="O802" s="3">
        <f t="shared" si="51"/>
        <v>0</v>
      </c>
      <c r="P802" t="str" cm="1">
        <f t="array" ref="P802">_xlfn.IFS(C802&lt;18, "Under 18", C802&lt;36, "Btw 18&amp;35", C802&lt;51, "Btw 36&amp;50", C802&lt;66, "Btw 51&amp;65", C802&gt;=66," 66&amp;Above")</f>
        <v xml:space="preserve"> 66&amp;Above</v>
      </c>
    </row>
    <row r="803" spans="1:16">
      <c r="A803" t="s">
        <v>1447</v>
      </c>
      <c r="B803" t="s">
        <v>1057</v>
      </c>
      <c r="C803">
        <v>8</v>
      </c>
      <c r="D803" t="s">
        <v>18</v>
      </c>
      <c r="E803" s="2">
        <v>45939</v>
      </c>
      <c r="F803" s="2">
        <v>45942</v>
      </c>
      <c r="G803" t="s">
        <v>49</v>
      </c>
      <c r="H803" t="s">
        <v>50</v>
      </c>
      <c r="I803" s="3">
        <v>4739.3900000000003</v>
      </c>
      <c r="J803" t="s">
        <v>20</v>
      </c>
      <c r="K803" s="4">
        <v>0.8</v>
      </c>
      <c r="L803" s="3">
        <f t="shared" si="48"/>
        <v>3791.5120000000006</v>
      </c>
      <c r="M803" s="3">
        <f t="shared" si="49"/>
        <v>947.87799999999982</v>
      </c>
      <c r="N803">
        <f t="shared" si="50"/>
        <v>3</v>
      </c>
      <c r="O803" s="3">
        <f t="shared" si="51"/>
        <v>0</v>
      </c>
      <c r="P803" t="str" cm="1">
        <f t="array" ref="P803">_xlfn.IFS(C803&lt;18, "Under 18", C803&lt;36, "Btw 18&amp;35", C803&lt;51, "Btw 36&amp;50", C803&lt;66, "Btw 51&amp;65", C803&gt;=66," 66&amp;Above")</f>
        <v>Under 18</v>
      </c>
    </row>
    <row r="804" spans="1:16">
      <c r="A804" t="s">
        <v>1448</v>
      </c>
      <c r="B804" t="s">
        <v>952</v>
      </c>
      <c r="C804">
        <v>37</v>
      </c>
      <c r="D804" t="s">
        <v>18</v>
      </c>
      <c r="E804" s="2">
        <v>45961</v>
      </c>
      <c r="F804" s="2">
        <v>45962</v>
      </c>
      <c r="G804" t="s">
        <v>23</v>
      </c>
      <c r="H804" t="s">
        <v>28</v>
      </c>
      <c r="I804" s="3">
        <v>1444.42</v>
      </c>
      <c r="J804" t="s">
        <v>15</v>
      </c>
      <c r="K804" s="4">
        <v>0.8</v>
      </c>
      <c r="L804" s="3">
        <f t="shared" si="48"/>
        <v>1155.5360000000001</v>
      </c>
      <c r="M804" s="3">
        <f t="shared" si="49"/>
        <v>288.88399999999996</v>
      </c>
      <c r="N804">
        <f t="shared" si="50"/>
        <v>1</v>
      </c>
      <c r="O804" s="3">
        <f t="shared" si="51"/>
        <v>1444.42</v>
      </c>
      <c r="P804" t="str" cm="1">
        <f t="array" ref="P804">_xlfn.IFS(C804&lt;18, "Under 18", C804&lt;36, "Btw 18&amp;35", C804&lt;51, "Btw 36&amp;50", C804&lt;66, "Btw 51&amp;65", C804&gt;=66," 66&amp;Above")</f>
        <v>Btw 36&amp;50</v>
      </c>
    </row>
    <row r="805" spans="1:16">
      <c r="A805" t="s">
        <v>1449</v>
      </c>
      <c r="B805" t="s">
        <v>1450</v>
      </c>
      <c r="C805">
        <v>21</v>
      </c>
      <c r="D805" t="s">
        <v>18</v>
      </c>
      <c r="E805" s="2">
        <v>45384</v>
      </c>
      <c r="F805" s="2">
        <v>45385</v>
      </c>
      <c r="G805" t="s">
        <v>31</v>
      </c>
      <c r="H805" t="s">
        <v>53</v>
      </c>
      <c r="I805" s="3">
        <v>646.89</v>
      </c>
      <c r="J805" t="s">
        <v>20</v>
      </c>
      <c r="K805" s="4">
        <v>0.7</v>
      </c>
      <c r="L805" s="3">
        <f t="shared" si="48"/>
        <v>452.82299999999998</v>
      </c>
      <c r="M805" s="3">
        <f t="shared" si="49"/>
        <v>194.06700000000004</v>
      </c>
      <c r="N805">
        <f t="shared" si="50"/>
        <v>1</v>
      </c>
      <c r="O805" s="3">
        <f t="shared" si="51"/>
        <v>0</v>
      </c>
      <c r="P805" t="str" cm="1">
        <f t="array" ref="P805">_xlfn.IFS(C805&lt;18, "Under 18", C805&lt;36, "Btw 18&amp;35", C805&lt;51, "Btw 36&amp;50", C805&lt;66, "Btw 51&amp;65", C805&gt;=66," 66&amp;Above")</f>
        <v>Btw 18&amp;35</v>
      </c>
    </row>
    <row r="806" spans="1:16">
      <c r="A806" t="s">
        <v>1451</v>
      </c>
      <c r="B806" t="s">
        <v>1128</v>
      </c>
      <c r="C806">
        <v>64</v>
      </c>
      <c r="D806" t="s">
        <v>12</v>
      </c>
      <c r="E806" s="2">
        <v>45553</v>
      </c>
      <c r="F806" s="2">
        <v>45555</v>
      </c>
      <c r="G806" t="s">
        <v>23</v>
      </c>
      <c r="H806" t="s">
        <v>221</v>
      </c>
      <c r="I806" s="3">
        <v>4600.38</v>
      </c>
      <c r="J806" t="s">
        <v>15</v>
      </c>
      <c r="K806" s="4">
        <v>0.7</v>
      </c>
      <c r="L806" s="3">
        <f t="shared" si="48"/>
        <v>3220.2660000000001</v>
      </c>
      <c r="M806" s="3">
        <f t="shared" si="49"/>
        <v>1380.1140000000003</v>
      </c>
      <c r="N806">
        <f t="shared" si="50"/>
        <v>2</v>
      </c>
      <c r="O806" s="3">
        <f t="shared" si="51"/>
        <v>4600.38</v>
      </c>
      <c r="P806" t="str" cm="1">
        <f t="array" ref="P806">_xlfn.IFS(C806&lt;18, "Under 18", C806&lt;36, "Btw 18&amp;35", C806&lt;51, "Btw 36&amp;50", C806&lt;66, "Btw 51&amp;65", C806&gt;=66," 66&amp;Above")</f>
        <v>Btw 51&amp;65</v>
      </c>
    </row>
    <row r="807" spans="1:16">
      <c r="A807" t="s">
        <v>1452</v>
      </c>
      <c r="B807" t="s">
        <v>577</v>
      </c>
      <c r="C807">
        <v>78</v>
      </c>
      <c r="D807" t="s">
        <v>18</v>
      </c>
      <c r="E807" s="2">
        <v>45495</v>
      </c>
      <c r="F807" s="2">
        <v>45498</v>
      </c>
      <c r="G807" t="s">
        <v>23</v>
      </c>
      <c r="H807" t="s">
        <v>28</v>
      </c>
      <c r="I807" s="3">
        <v>2479.6999999999998</v>
      </c>
      <c r="J807" t="s">
        <v>15</v>
      </c>
      <c r="K807" s="4">
        <v>0.8</v>
      </c>
      <c r="L807" s="3">
        <f t="shared" si="48"/>
        <v>1983.76</v>
      </c>
      <c r="M807" s="3">
        <f t="shared" si="49"/>
        <v>495.93999999999983</v>
      </c>
      <c r="N807">
        <f t="shared" si="50"/>
        <v>3</v>
      </c>
      <c r="O807" s="3">
        <f t="shared" si="51"/>
        <v>2479.6999999999998</v>
      </c>
      <c r="P807" t="str" cm="1">
        <f t="array" ref="P807">_xlfn.IFS(C807&lt;18, "Under 18", C807&lt;36, "Btw 18&amp;35", C807&lt;51, "Btw 36&amp;50", C807&lt;66, "Btw 51&amp;65", C807&gt;=66," 66&amp;Above")</f>
        <v xml:space="preserve"> 66&amp;Above</v>
      </c>
    </row>
    <row r="808" spans="1:16">
      <c r="A808" t="s">
        <v>1453</v>
      </c>
      <c r="B808" t="s">
        <v>1344</v>
      </c>
      <c r="C808">
        <v>48</v>
      </c>
      <c r="D808" t="s">
        <v>12</v>
      </c>
      <c r="E808" s="2">
        <v>45955</v>
      </c>
      <c r="F808" s="2">
        <v>45962</v>
      </c>
      <c r="G808" t="s">
        <v>31</v>
      </c>
      <c r="H808" t="s">
        <v>87</v>
      </c>
      <c r="I808" s="3">
        <v>10101.09</v>
      </c>
      <c r="J808" t="s">
        <v>25</v>
      </c>
      <c r="K808" s="4">
        <v>0.8</v>
      </c>
      <c r="L808" s="3">
        <f t="shared" si="48"/>
        <v>8080.8720000000003</v>
      </c>
      <c r="M808" s="3">
        <f t="shared" si="49"/>
        <v>2020.2179999999996</v>
      </c>
      <c r="N808">
        <f t="shared" si="50"/>
        <v>7</v>
      </c>
      <c r="O808" s="3">
        <f t="shared" si="51"/>
        <v>0</v>
      </c>
      <c r="P808" t="str" cm="1">
        <f t="array" ref="P808">_xlfn.IFS(C808&lt;18, "Under 18", C808&lt;36, "Btw 18&amp;35", C808&lt;51, "Btw 36&amp;50", C808&lt;66, "Btw 51&amp;65", C808&gt;=66," 66&amp;Above")</f>
        <v>Btw 36&amp;50</v>
      </c>
    </row>
    <row r="809" spans="1:16">
      <c r="A809" t="s">
        <v>1454</v>
      </c>
      <c r="B809" t="s">
        <v>1455</v>
      </c>
      <c r="C809">
        <v>59</v>
      </c>
      <c r="D809" t="s">
        <v>18</v>
      </c>
      <c r="E809" s="2">
        <v>45921</v>
      </c>
      <c r="F809" s="2">
        <v>45924</v>
      </c>
      <c r="G809" t="s">
        <v>31</v>
      </c>
      <c r="H809" t="s">
        <v>234</v>
      </c>
      <c r="I809" s="3">
        <v>2291.15</v>
      </c>
      <c r="J809" t="s">
        <v>15</v>
      </c>
      <c r="K809" s="4">
        <v>0.6</v>
      </c>
      <c r="L809" s="3">
        <f t="shared" si="48"/>
        <v>1374.69</v>
      </c>
      <c r="M809" s="3">
        <f t="shared" si="49"/>
        <v>916.46</v>
      </c>
      <c r="N809">
        <f t="shared" si="50"/>
        <v>3</v>
      </c>
      <c r="O809" s="3">
        <f t="shared" si="51"/>
        <v>2291.15</v>
      </c>
      <c r="P809" t="str" cm="1">
        <f t="array" ref="P809">_xlfn.IFS(C809&lt;18, "Under 18", C809&lt;36, "Btw 18&amp;35", C809&lt;51, "Btw 36&amp;50", C809&lt;66, "Btw 51&amp;65", C809&gt;=66," 66&amp;Above")</f>
        <v>Btw 51&amp;65</v>
      </c>
    </row>
    <row r="810" spans="1:16">
      <c r="A810" t="s">
        <v>1456</v>
      </c>
      <c r="B810" t="s">
        <v>1457</v>
      </c>
      <c r="C810">
        <v>61</v>
      </c>
      <c r="D810" t="s">
        <v>18</v>
      </c>
      <c r="E810" s="2">
        <v>45570</v>
      </c>
      <c r="F810" s="2">
        <v>45573</v>
      </c>
      <c r="G810" t="s">
        <v>31</v>
      </c>
      <c r="H810" t="s">
        <v>35</v>
      </c>
      <c r="I810" s="3">
        <v>4440.5200000000004</v>
      </c>
      <c r="J810" t="s">
        <v>20</v>
      </c>
      <c r="K810" s="4">
        <v>0</v>
      </c>
      <c r="L810" s="3">
        <f t="shared" si="48"/>
        <v>0</v>
      </c>
      <c r="M810" s="3">
        <f t="shared" si="49"/>
        <v>4440.5200000000004</v>
      </c>
      <c r="N810">
        <f t="shared" si="50"/>
        <v>3</v>
      </c>
      <c r="O810" s="3">
        <f t="shared" si="51"/>
        <v>0</v>
      </c>
      <c r="P810" t="str" cm="1">
        <f t="array" ref="P810">_xlfn.IFS(C810&lt;18, "Under 18", C810&lt;36, "Btw 18&amp;35", C810&lt;51, "Btw 36&amp;50", C810&lt;66, "Btw 51&amp;65", C810&gt;=66," 66&amp;Above")</f>
        <v>Btw 51&amp;65</v>
      </c>
    </row>
    <row r="811" spans="1:16">
      <c r="A811" t="s">
        <v>1458</v>
      </c>
      <c r="B811" t="s">
        <v>1459</v>
      </c>
      <c r="C811">
        <v>83</v>
      </c>
      <c r="D811" t="s">
        <v>12</v>
      </c>
      <c r="E811" s="2">
        <v>45602</v>
      </c>
      <c r="F811" s="2">
        <v>45603</v>
      </c>
      <c r="G811" t="s">
        <v>31</v>
      </c>
      <c r="H811" t="s">
        <v>87</v>
      </c>
      <c r="I811" s="3">
        <v>923.56</v>
      </c>
      <c r="J811" t="s">
        <v>15</v>
      </c>
      <c r="K811" s="4">
        <v>0.9</v>
      </c>
      <c r="L811" s="3">
        <f t="shared" si="48"/>
        <v>831.20399999999995</v>
      </c>
      <c r="M811" s="3">
        <f t="shared" si="49"/>
        <v>92.35599999999998</v>
      </c>
      <c r="N811">
        <f t="shared" si="50"/>
        <v>1</v>
      </c>
      <c r="O811" s="3">
        <f t="shared" si="51"/>
        <v>923.56</v>
      </c>
      <c r="P811" t="str" cm="1">
        <f t="array" ref="P811">_xlfn.IFS(C811&lt;18, "Under 18", C811&lt;36, "Btw 18&amp;35", C811&lt;51, "Btw 36&amp;50", C811&lt;66, "Btw 51&amp;65", C811&gt;=66," 66&amp;Above")</f>
        <v xml:space="preserve"> 66&amp;Above</v>
      </c>
    </row>
    <row r="812" spans="1:16">
      <c r="A812" t="s">
        <v>1460</v>
      </c>
      <c r="B812" t="s">
        <v>858</v>
      </c>
      <c r="C812">
        <v>62</v>
      </c>
      <c r="D812" t="s">
        <v>12</v>
      </c>
      <c r="E812" s="2">
        <v>45601</v>
      </c>
      <c r="F812" s="2">
        <v>45604</v>
      </c>
      <c r="G812" t="s">
        <v>13</v>
      </c>
      <c r="H812" t="s">
        <v>165</v>
      </c>
      <c r="I812" s="3">
        <v>7663.44</v>
      </c>
      <c r="J812" t="s">
        <v>15</v>
      </c>
      <c r="K812" s="4">
        <v>0.9</v>
      </c>
      <c r="L812" s="3">
        <f t="shared" si="48"/>
        <v>6897.0959999999995</v>
      </c>
      <c r="M812" s="3">
        <f t="shared" si="49"/>
        <v>766.34399999999982</v>
      </c>
      <c r="N812">
        <f t="shared" si="50"/>
        <v>3</v>
      </c>
      <c r="O812" s="3">
        <f t="shared" si="51"/>
        <v>7663.44</v>
      </c>
      <c r="P812" t="str" cm="1">
        <f t="array" ref="P812">_xlfn.IFS(C812&lt;18, "Under 18", C812&lt;36, "Btw 18&amp;35", C812&lt;51, "Btw 36&amp;50", C812&lt;66, "Btw 51&amp;65", C812&gt;=66," 66&amp;Above")</f>
        <v>Btw 51&amp;65</v>
      </c>
    </row>
    <row r="813" spans="1:16">
      <c r="A813" t="s">
        <v>1461</v>
      </c>
      <c r="B813" t="s">
        <v>330</v>
      </c>
      <c r="C813">
        <v>14</v>
      </c>
      <c r="D813" t="s">
        <v>18</v>
      </c>
      <c r="E813" s="2">
        <v>45686</v>
      </c>
      <c r="F813" s="2">
        <v>45690</v>
      </c>
      <c r="G813" t="s">
        <v>49</v>
      </c>
      <c r="H813" t="s">
        <v>123</v>
      </c>
      <c r="I813" s="3">
        <v>6386.92</v>
      </c>
      <c r="J813" t="s">
        <v>15</v>
      </c>
      <c r="K813" s="4">
        <v>1</v>
      </c>
      <c r="L813" s="3">
        <f t="shared" si="48"/>
        <v>6386.92</v>
      </c>
      <c r="M813" s="3">
        <f t="shared" si="49"/>
        <v>0</v>
      </c>
      <c r="N813">
        <f t="shared" si="50"/>
        <v>4</v>
      </c>
      <c r="O813" s="3">
        <f t="shared" si="51"/>
        <v>6386.92</v>
      </c>
      <c r="P813" t="str" cm="1">
        <f t="array" ref="P813">_xlfn.IFS(C813&lt;18, "Under 18", C813&lt;36, "Btw 18&amp;35", C813&lt;51, "Btw 36&amp;50", C813&lt;66, "Btw 51&amp;65", C813&gt;=66," 66&amp;Above")</f>
        <v>Under 18</v>
      </c>
    </row>
    <row r="814" spans="1:16">
      <c r="A814" t="s">
        <v>1462</v>
      </c>
      <c r="B814" t="s">
        <v>416</v>
      </c>
      <c r="C814">
        <v>41</v>
      </c>
      <c r="D814" t="s">
        <v>18</v>
      </c>
      <c r="E814" s="2">
        <v>45344</v>
      </c>
      <c r="F814" s="2">
        <v>45346</v>
      </c>
      <c r="G814" t="s">
        <v>23</v>
      </c>
      <c r="H814" t="s">
        <v>221</v>
      </c>
      <c r="I814" s="3">
        <v>3243.4</v>
      </c>
      <c r="J814" t="s">
        <v>25</v>
      </c>
      <c r="K814" s="4">
        <v>0.7</v>
      </c>
      <c r="L814" s="3">
        <f t="shared" si="48"/>
        <v>2270.38</v>
      </c>
      <c r="M814" s="3">
        <f t="shared" si="49"/>
        <v>973.02000000000021</v>
      </c>
      <c r="N814">
        <f t="shared" si="50"/>
        <v>2</v>
      </c>
      <c r="O814" s="3">
        <f t="shared" si="51"/>
        <v>0</v>
      </c>
      <c r="P814" t="str" cm="1">
        <f t="array" ref="P814">_xlfn.IFS(C814&lt;18, "Under 18", C814&lt;36, "Btw 18&amp;35", C814&lt;51, "Btw 36&amp;50", C814&lt;66, "Btw 51&amp;65", C814&gt;=66," 66&amp;Above")</f>
        <v>Btw 36&amp;50</v>
      </c>
    </row>
    <row r="815" spans="1:16">
      <c r="A815" t="s">
        <v>1463</v>
      </c>
      <c r="B815" t="s">
        <v>839</v>
      </c>
      <c r="C815">
        <v>28</v>
      </c>
      <c r="D815" t="s">
        <v>12</v>
      </c>
      <c r="E815" s="2">
        <v>45523</v>
      </c>
      <c r="F815" s="2">
        <v>45525</v>
      </c>
      <c r="G815" t="s">
        <v>23</v>
      </c>
      <c r="H815" t="s">
        <v>333</v>
      </c>
      <c r="I815" s="3">
        <v>2328.9699999999998</v>
      </c>
      <c r="J815" t="s">
        <v>25</v>
      </c>
      <c r="K815" s="4">
        <v>0.6</v>
      </c>
      <c r="L815" s="3">
        <f t="shared" si="48"/>
        <v>1397.3819999999998</v>
      </c>
      <c r="M815" s="3">
        <f t="shared" si="49"/>
        <v>931.58799999999997</v>
      </c>
      <c r="N815">
        <f t="shared" si="50"/>
        <v>2</v>
      </c>
      <c r="O815" s="3">
        <f t="shared" si="51"/>
        <v>0</v>
      </c>
      <c r="P815" t="str" cm="1">
        <f t="array" ref="P815">_xlfn.IFS(C815&lt;18, "Under 18", C815&lt;36, "Btw 18&amp;35", C815&lt;51, "Btw 36&amp;50", C815&lt;66, "Btw 51&amp;65", C815&gt;=66," 66&amp;Above")</f>
        <v>Btw 18&amp;35</v>
      </c>
    </row>
    <row r="816" spans="1:16">
      <c r="A816" t="s">
        <v>1464</v>
      </c>
      <c r="B816" t="s">
        <v>1022</v>
      </c>
      <c r="C816">
        <v>76</v>
      </c>
      <c r="D816" t="s">
        <v>18</v>
      </c>
      <c r="E816" s="2">
        <v>45388</v>
      </c>
      <c r="F816" s="2">
        <v>45393</v>
      </c>
      <c r="G816" t="s">
        <v>13</v>
      </c>
      <c r="H816" t="s">
        <v>111</v>
      </c>
      <c r="I816" s="3">
        <v>11411.19</v>
      </c>
      <c r="J816" t="s">
        <v>15</v>
      </c>
      <c r="K816" s="4">
        <v>0.7</v>
      </c>
      <c r="L816" s="3">
        <f t="shared" si="48"/>
        <v>7987.8329999999996</v>
      </c>
      <c r="M816" s="3">
        <f t="shared" si="49"/>
        <v>3423.3570000000009</v>
      </c>
      <c r="N816">
        <f t="shared" si="50"/>
        <v>5</v>
      </c>
      <c r="O816" s="3">
        <f t="shared" si="51"/>
        <v>11411.19</v>
      </c>
      <c r="P816" t="str" cm="1">
        <f t="array" ref="P816">_xlfn.IFS(C816&lt;18, "Under 18", C816&lt;36, "Btw 18&amp;35", C816&lt;51, "Btw 36&amp;50", C816&lt;66, "Btw 51&amp;65", C816&gt;=66," 66&amp;Above")</f>
        <v xml:space="preserve"> 66&amp;Above</v>
      </c>
    </row>
    <row r="817" spans="1:16">
      <c r="A817" t="s">
        <v>1465</v>
      </c>
      <c r="B817" t="s">
        <v>1466</v>
      </c>
      <c r="C817">
        <v>80</v>
      </c>
      <c r="D817" t="s">
        <v>18</v>
      </c>
      <c r="E817" s="2">
        <v>45449</v>
      </c>
      <c r="F817" s="2">
        <v>45457</v>
      </c>
      <c r="G817" t="s">
        <v>70</v>
      </c>
      <c r="H817" t="s">
        <v>94</v>
      </c>
      <c r="I817" s="3">
        <v>18741.169999999998</v>
      </c>
      <c r="J817" t="s">
        <v>15</v>
      </c>
      <c r="K817" s="4">
        <v>0.7</v>
      </c>
      <c r="L817" s="3">
        <f t="shared" si="48"/>
        <v>13118.818999999998</v>
      </c>
      <c r="M817" s="3">
        <f t="shared" si="49"/>
        <v>5622.3510000000006</v>
      </c>
      <c r="N817">
        <f t="shared" si="50"/>
        <v>8</v>
      </c>
      <c r="O817" s="3">
        <f t="shared" si="51"/>
        <v>18741.169999999998</v>
      </c>
      <c r="P817" t="str" cm="1">
        <f t="array" ref="P817">_xlfn.IFS(C817&lt;18, "Under 18", C817&lt;36, "Btw 18&amp;35", C817&lt;51, "Btw 36&amp;50", C817&lt;66, "Btw 51&amp;65", C817&gt;=66," 66&amp;Above")</f>
        <v xml:space="preserve"> 66&amp;Above</v>
      </c>
    </row>
    <row r="818" spans="1:16">
      <c r="A818" t="s">
        <v>1467</v>
      </c>
      <c r="B818" t="s">
        <v>1357</v>
      </c>
      <c r="C818">
        <v>53</v>
      </c>
      <c r="D818" t="s">
        <v>18</v>
      </c>
      <c r="E818" s="2">
        <v>45541</v>
      </c>
      <c r="F818" s="2">
        <v>45543</v>
      </c>
      <c r="G818" t="s">
        <v>23</v>
      </c>
      <c r="H818" t="s">
        <v>28</v>
      </c>
      <c r="I818" s="3">
        <v>3602.24</v>
      </c>
      <c r="J818" t="s">
        <v>15</v>
      </c>
      <c r="K818" s="4">
        <v>0.7</v>
      </c>
      <c r="L818" s="3">
        <f t="shared" si="48"/>
        <v>2521.5679999999998</v>
      </c>
      <c r="M818" s="3">
        <f t="shared" si="49"/>
        <v>1080.672</v>
      </c>
      <c r="N818">
        <f t="shared" si="50"/>
        <v>2</v>
      </c>
      <c r="O818" s="3">
        <f t="shared" si="51"/>
        <v>3602.24</v>
      </c>
      <c r="P818" t="str" cm="1">
        <f t="array" ref="P818">_xlfn.IFS(C818&lt;18, "Under 18", C818&lt;36, "Btw 18&amp;35", C818&lt;51, "Btw 36&amp;50", C818&lt;66, "Btw 51&amp;65", C818&gt;=66," 66&amp;Above")</f>
        <v>Btw 51&amp;65</v>
      </c>
    </row>
    <row r="819" spans="1:16">
      <c r="A819" t="s">
        <v>1468</v>
      </c>
      <c r="B819" t="s">
        <v>1469</v>
      </c>
      <c r="C819">
        <v>50</v>
      </c>
      <c r="D819" t="s">
        <v>18</v>
      </c>
      <c r="E819" s="2">
        <v>45609</v>
      </c>
      <c r="F819" s="2">
        <v>45611</v>
      </c>
      <c r="G819" t="s">
        <v>60</v>
      </c>
      <c r="H819" t="s">
        <v>74</v>
      </c>
      <c r="I819" s="3">
        <v>3967.17</v>
      </c>
      <c r="J819" t="s">
        <v>15</v>
      </c>
      <c r="K819" s="4">
        <v>0.9</v>
      </c>
      <c r="L819" s="3">
        <f t="shared" si="48"/>
        <v>3570.453</v>
      </c>
      <c r="M819" s="3">
        <f t="shared" si="49"/>
        <v>396.71699999999993</v>
      </c>
      <c r="N819">
        <f t="shared" si="50"/>
        <v>2</v>
      </c>
      <c r="O819" s="3">
        <f t="shared" si="51"/>
        <v>3967.17</v>
      </c>
      <c r="P819" t="str" cm="1">
        <f t="array" ref="P819">_xlfn.IFS(C819&lt;18, "Under 18", C819&lt;36, "Btw 18&amp;35", C819&lt;51, "Btw 36&amp;50", C819&lt;66, "Btw 51&amp;65", C819&gt;=66," 66&amp;Above")</f>
        <v>Btw 36&amp;50</v>
      </c>
    </row>
    <row r="820" spans="1:16">
      <c r="A820" t="s">
        <v>1470</v>
      </c>
      <c r="B820" t="s">
        <v>1471</v>
      </c>
      <c r="C820">
        <v>30</v>
      </c>
      <c r="D820" t="s">
        <v>18</v>
      </c>
      <c r="E820" s="2">
        <v>45602</v>
      </c>
      <c r="F820" s="2">
        <v>45606</v>
      </c>
      <c r="G820" t="s">
        <v>60</v>
      </c>
      <c r="H820" t="s">
        <v>97</v>
      </c>
      <c r="I820" s="3">
        <v>5430.38</v>
      </c>
      <c r="J820" t="s">
        <v>15</v>
      </c>
      <c r="K820" s="4">
        <v>0.8</v>
      </c>
      <c r="L820" s="3">
        <f t="shared" si="48"/>
        <v>4344.3040000000001</v>
      </c>
      <c r="M820" s="3">
        <f t="shared" si="49"/>
        <v>1086.0759999999998</v>
      </c>
      <c r="N820">
        <f t="shared" si="50"/>
        <v>4</v>
      </c>
      <c r="O820" s="3">
        <f t="shared" si="51"/>
        <v>5430.38</v>
      </c>
      <c r="P820" t="str" cm="1">
        <f t="array" ref="P820">_xlfn.IFS(C820&lt;18, "Under 18", C820&lt;36, "Btw 18&amp;35", C820&lt;51, "Btw 36&amp;50", C820&lt;66, "Btw 51&amp;65", C820&gt;=66," 66&amp;Above")</f>
        <v>Btw 18&amp;35</v>
      </c>
    </row>
    <row r="821" spans="1:16">
      <c r="A821" t="s">
        <v>1472</v>
      </c>
      <c r="B821" t="s">
        <v>856</v>
      </c>
      <c r="C821">
        <v>49</v>
      </c>
      <c r="D821" t="s">
        <v>18</v>
      </c>
      <c r="E821" s="2">
        <v>45588</v>
      </c>
      <c r="F821" s="2">
        <v>45594</v>
      </c>
      <c r="G821" t="s">
        <v>31</v>
      </c>
      <c r="H821" t="s">
        <v>35</v>
      </c>
      <c r="I821" s="3">
        <v>3153.91</v>
      </c>
      <c r="J821" t="s">
        <v>15</v>
      </c>
      <c r="K821" s="4">
        <v>0.9</v>
      </c>
      <c r="L821" s="3">
        <f t="shared" si="48"/>
        <v>2838.5189999999998</v>
      </c>
      <c r="M821" s="3">
        <f t="shared" si="49"/>
        <v>315.39099999999991</v>
      </c>
      <c r="N821">
        <f t="shared" si="50"/>
        <v>6</v>
      </c>
      <c r="O821" s="3">
        <f t="shared" si="51"/>
        <v>3153.91</v>
      </c>
      <c r="P821" t="str" cm="1">
        <f t="array" ref="P821">_xlfn.IFS(C821&lt;18, "Under 18", C821&lt;36, "Btw 18&amp;35", C821&lt;51, "Btw 36&amp;50", C821&lt;66, "Btw 51&amp;65", C821&gt;=66," 66&amp;Above")</f>
        <v>Btw 36&amp;50</v>
      </c>
    </row>
    <row r="822" spans="1:16">
      <c r="A822" t="s">
        <v>1473</v>
      </c>
      <c r="B822" t="s">
        <v>1474</v>
      </c>
      <c r="C822">
        <v>32</v>
      </c>
      <c r="D822" t="s">
        <v>18</v>
      </c>
      <c r="E822" s="2">
        <v>45547</v>
      </c>
      <c r="F822" s="2">
        <v>45553</v>
      </c>
      <c r="G822" t="s">
        <v>31</v>
      </c>
      <c r="H822" t="s">
        <v>234</v>
      </c>
      <c r="I822" s="3">
        <v>4214.28</v>
      </c>
      <c r="J822" t="s">
        <v>15</v>
      </c>
      <c r="K822" s="4">
        <v>0.8</v>
      </c>
      <c r="L822" s="3">
        <f t="shared" si="48"/>
        <v>3371.424</v>
      </c>
      <c r="M822" s="3">
        <f t="shared" si="49"/>
        <v>842.85599999999977</v>
      </c>
      <c r="N822">
        <f t="shared" si="50"/>
        <v>6</v>
      </c>
      <c r="O822" s="3">
        <f t="shared" si="51"/>
        <v>4214.28</v>
      </c>
      <c r="P822" t="str" cm="1">
        <f t="array" ref="P822">_xlfn.IFS(C822&lt;18, "Under 18", C822&lt;36, "Btw 18&amp;35", C822&lt;51, "Btw 36&amp;50", C822&lt;66, "Btw 51&amp;65", C822&gt;=66," 66&amp;Above")</f>
        <v>Btw 18&amp;35</v>
      </c>
    </row>
    <row r="823" spans="1:16">
      <c r="A823" t="s">
        <v>1475</v>
      </c>
      <c r="B823" t="s">
        <v>820</v>
      </c>
      <c r="C823">
        <v>70</v>
      </c>
      <c r="D823" t="s">
        <v>12</v>
      </c>
      <c r="E823" s="2">
        <v>45947</v>
      </c>
      <c r="F823" s="2">
        <v>45950</v>
      </c>
      <c r="G823" t="s">
        <v>70</v>
      </c>
      <c r="H823" t="s">
        <v>194</v>
      </c>
      <c r="I823" s="3">
        <v>5898.39</v>
      </c>
      <c r="J823" t="s">
        <v>20</v>
      </c>
      <c r="K823" s="4">
        <v>0.6</v>
      </c>
      <c r="L823" s="3">
        <f t="shared" si="48"/>
        <v>3539.0340000000001</v>
      </c>
      <c r="M823" s="3">
        <f t="shared" si="49"/>
        <v>2359.3560000000002</v>
      </c>
      <c r="N823">
        <f t="shared" si="50"/>
        <v>3</v>
      </c>
      <c r="O823" s="3">
        <f t="shared" si="51"/>
        <v>0</v>
      </c>
      <c r="P823" t="str" cm="1">
        <f t="array" ref="P823">_xlfn.IFS(C823&lt;18, "Under 18", C823&lt;36, "Btw 18&amp;35", C823&lt;51, "Btw 36&amp;50", C823&lt;66, "Btw 51&amp;65", C823&gt;=66," 66&amp;Above")</f>
        <v xml:space="preserve"> 66&amp;Above</v>
      </c>
    </row>
    <row r="824" spans="1:16">
      <c r="A824" t="s">
        <v>1476</v>
      </c>
      <c r="B824" t="s">
        <v>40</v>
      </c>
      <c r="C824">
        <v>35</v>
      </c>
      <c r="D824" t="s">
        <v>18</v>
      </c>
      <c r="E824" s="2">
        <v>45974</v>
      </c>
      <c r="F824" s="2">
        <v>45988</v>
      </c>
      <c r="G824" t="s">
        <v>60</v>
      </c>
      <c r="H824" t="s">
        <v>142</v>
      </c>
      <c r="I824" s="3">
        <v>32045.67</v>
      </c>
      <c r="J824" t="s">
        <v>15</v>
      </c>
      <c r="K824" s="4">
        <v>0.8</v>
      </c>
      <c r="L824" s="3">
        <f t="shared" si="48"/>
        <v>25636.536</v>
      </c>
      <c r="M824" s="3">
        <f t="shared" si="49"/>
        <v>6409.1339999999982</v>
      </c>
      <c r="N824">
        <f t="shared" si="50"/>
        <v>14</v>
      </c>
      <c r="O824" s="3">
        <f t="shared" si="51"/>
        <v>32045.67</v>
      </c>
      <c r="P824" t="str" cm="1">
        <f t="array" ref="P824">_xlfn.IFS(C824&lt;18, "Under 18", C824&lt;36, "Btw 18&amp;35", C824&lt;51, "Btw 36&amp;50", C824&lt;66, "Btw 51&amp;65", C824&gt;=66," 66&amp;Above")</f>
        <v>Btw 18&amp;35</v>
      </c>
    </row>
    <row r="825" spans="1:16">
      <c r="A825" t="s">
        <v>1477</v>
      </c>
      <c r="B825" t="s">
        <v>1216</v>
      </c>
      <c r="C825">
        <v>77</v>
      </c>
      <c r="D825" t="s">
        <v>12</v>
      </c>
      <c r="E825" s="2">
        <v>45383</v>
      </c>
      <c r="F825" s="2">
        <v>45388</v>
      </c>
      <c r="G825" t="s">
        <v>70</v>
      </c>
      <c r="H825" t="s">
        <v>237</v>
      </c>
      <c r="I825" s="3">
        <v>11916.1</v>
      </c>
      <c r="J825" t="s">
        <v>15</v>
      </c>
      <c r="K825" s="4">
        <v>0.9</v>
      </c>
      <c r="L825" s="3">
        <f t="shared" si="48"/>
        <v>10724.49</v>
      </c>
      <c r="M825" s="3">
        <f t="shared" si="49"/>
        <v>1191.6099999999997</v>
      </c>
      <c r="N825">
        <f t="shared" si="50"/>
        <v>5</v>
      </c>
      <c r="O825" s="3">
        <f t="shared" si="51"/>
        <v>11916.1</v>
      </c>
      <c r="P825" t="str" cm="1">
        <f t="array" ref="P825">_xlfn.IFS(C825&lt;18, "Under 18", C825&lt;36, "Btw 18&amp;35", C825&lt;51, "Btw 36&amp;50", C825&lt;66, "Btw 51&amp;65", C825&gt;=66," 66&amp;Above")</f>
        <v xml:space="preserve"> 66&amp;Above</v>
      </c>
    </row>
    <row r="826" spans="1:16">
      <c r="A826" t="s">
        <v>1478</v>
      </c>
      <c r="B826" t="s">
        <v>1018</v>
      </c>
      <c r="C826">
        <v>26</v>
      </c>
      <c r="D826" t="s">
        <v>18</v>
      </c>
      <c r="E826" s="2">
        <v>45611</v>
      </c>
      <c r="F826" s="2">
        <v>45618</v>
      </c>
      <c r="G826" t="s">
        <v>31</v>
      </c>
      <c r="H826" t="s">
        <v>114</v>
      </c>
      <c r="I826" s="3">
        <v>5499.8</v>
      </c>
      <c r="J826" t="s">
        <v>20</v>
      </c>
      <c r="K826" s="4">
        <v>0.8</v>
      </c>
      <c r="L826" s="3">
        <f t="shared" si="48"/>
        <v>4399.84</v>
      </c>
      <c r="M826" s="3">
        <f t="shared" si="49"/>
        <v>1099.9599999999998</v>
      </c>
      <c r="N826">
        <f t="shared" si="50"/>
        <v>7</v>
      </c>
      <c r="O826" s="3">
        <f t="shared" si="51"/>
        <v>0</v>
      </c>
      <c r="P826" t="str" cm="1">
        <f t="array" ref="P826">_xlfn.IFS(C826&lt;18, "Under 18", C826&lt;36, "Btw 18&amp;35", C826&lt;51, "Btw 36&amp;50", C826&lt;66, "Btw 51&amp;65", C826&gt;=66," 66&amp;Above")</f>
        <v>Btw 18&amp;35</v>
      </c>
    </row>
    <row r="827" spans="1:16">
      <c r="A827" t="s">
        <v>1479</v>
      </c>
      <c r="B827" t="s">
        <v>922</v>
      </c>
      <c r="C827">
        <v>32</v>
      </c>
      <c r="D827" t="s">
        <v>12</v>
      </c>
      <c r="E827" s="2">
        <v>45973</v>
      </c>
      <c r="F827" s="2">
        <v>45978</v>
      </c>
      <c r="G827" t="s">
        <v>70</v>
      </c>
      <c r="H827" t="s">
        <v>94</v>
      </c>
      <c r="I827" s="3">
        <v>8755.16</v>
      </c>
      <c r="J827" t="s">
        <v>15</v>
      </c>
      <c r="K827" s="4">
        <v>0.5</v>
      </c>
      <c r="L827" s="3">
        <f t="shared" si="48"/>
        <v>4377.58</v>
      </c>
      <c r="M827" s="3">
        <f t="shared" si="49"/>
        <v>4377.58</v>
      </c>
      <c r="N827">
        <f t="shared" si="50"/>
        <v>5</v>
      </c>
      <c r="O827" s="3">
        <f t="shared" si="51"/>
        <v>8755.16</v>
      </c>
      <c r="P827" t="str" cm="1">
        <f t="array" ref="P827">_xlfn.IFS(C827&lt;18, "Under 18", C827&lt;36, "Btw 18&amp;35", C827&lt;51, "Btw 36&amp;50", C827&lt;66, "Btw 51&amp;65", C827&gt;=66," 66&amp;Above")</f>
        <v>Btw 18&amp;35</v>
      </c>
    </row>
    <row r="828" spans="1:16">
      <c r="A828" t="s">
        <v>1480</v>
      </c>
      <c r="B828" t="s">
        <v>1481</v>
      </c>
      <c r="C828">
        <v>35</v>
      </c>
      <c r="D828" t="s">
        <v>12</v>
      </c>
      <c r="E828" s="2">
        <v>45664</v>
      </c>
      <c r="F828" s="2">
        <v>45669</v>
      </c>
      <c r="G828" t="s">
        <v>31</v>
      </c>
      <c r="H828" t="s">
        <v>114</v>
      </c>
      <c r="I828" s="3">
        <v>3252.83</v>
      </c>
      <c r="J828" t="s">
        <v>25</v>
      </c>
      <c r="K828" s="4">
        <v>0.7</v>
      </c>
      <c r="L828" s="3">
        <f t="shared" si="48"/>
        <v>2276.9809999999998</v>
      </c>
      <c r="M828" s="3">
        <f t="shared" si="49"/>
        <v>975.84900000000016</v>
      </c>
      <c r="N828">
        <f t="shared" si="50"/>
        <v>5</v>
      </c>
      <c r="O828" s="3">
        <f t="shared" si="51"/>
        <v>0</v>
      </c>
      <c r="P828" t="str" cm="1">
        <f t="array" ref="P828">_xlfn.IFS(C828&lt;18, "Under 18", C828&lt;36, "Btw 18&amp;35", C828&lt;51, "Btw 36&amp;50", C828&lt;66, "Btw 51&amp;65", C828&gt;=66," 66&amp;Above")</f>
        <v>Btw 18&amp;35</v>
      </c>
    </row>
    <row r="829" spans="1:16">
      <c r="A829" t="s">
        <v>1482</v>
      </c>
      <c r="B829" t="s">
        <v>488</v>
      </c>
      <c r="C829">
        <v>52</v>
      </c>
      <c r="D829" t="s">
        <v>18</v>
      </c>
      <c r="E829" s="2">
        <v>45938</v>
      </c>
      <c r="F829" s="2">
        <v>45943</v>
      </c>
      <c r="G829" t="s">
        <v>60</v>
      </c>
      <c r="H829" t="s">
        <v>77</v>
      </c>
      <c r="I829" s="3">
        <v>12778.56</v>
      </c>
      <c r="J829" t="s">
        <v>20</v>
      </c>
      <c r="K829" s="4">
        <v>0.8</v>
      </c>
      <c r="L829" s="3">
        <f t="shared" si="48"/>
        <v>10222.848</v>
      </c>
      <c r="M829" s="3">
        <f t="shared" si="49"/>
        <v>2555.7119999999995</v>
      </c>
      <c r="N829">
        <f t="shared" si="50"/>
        <v>5</v>
      </c>
      <c r="O829" s="3">
        <f t="shared" si="51"/>
        <v>0</v>
      </c>
      <c r="P829" t="str" cm="1">
        <f t="array" ref="P829">_xlfn.IFS(C829&lt;18, "Under 18", C829&lt;36, "Btw 18&amp;35", C829&lt;51, "Btw 36&amp;50", C829&lt;66, "Btw 51&amp;65", C829&gt;=66," 66&amp;Above")</f>
        <v>Btw 51&amp;65</v>
      </c>
    </row>
    <row r="830" spans="1:16">
      <c r="A830" t="s">
        <v>1483</v>
      </c>
      <c r="B830" t="s">
        <v>256</v>
      </c>
      <c r="C830">
        <v>73</v>
      </c>
      <c r="D830" t="s">
        <v>12</v>
      </c>
      <c r="E830" s="2">
        <v>45973</v>
      </c>
      <c r="F830" s="2">
        <v>45985</v>
      </c>
      <c r="G830" t="s">
        <v>60</v>
      </c>
      <c r="H830" t="s">
        <v>74</v>
      </c>
      <c r="I830" s="3">
        <v>27830.62</v>
      </c>
      <c r="J830" t="s">
        <v>20</v>
      </c>
      <c r="K830" s="4">
        <v>0.6</v>
      </c>
      <c r="L830" s="3">
        <f t="shared" si="48"/>
        <v>16698.371999999999</v>
      </c>
      <c r="M830" s="3">
        <f t="shared" si="49"/>
        <v>11132.248</v>
      </c>
      <c r="N830">
        <f t="shared" si="50"/>
        <v>12</v>
      </c>
      <c r="O830" s="3">
        <f t="shared" si="51"/>
        <v>0</v>
      </c>
      <c r="P830" t="str" cm="1">
        <f t="array" ref="P830">_xlfn.IFS(C830&lt;18, "Under 18", C830&lt;36, "Btw 18&amp;35", C830&lt;51, "Btw 36&amp;50", C830&lt;66, "Btw 51&amp;65", C830&gt;=66," 66&amp;Above")</f>
        <v xml:space="preserve"> 66&amp;Above</v>
      </c>
    </row>
    <row r="831" spans="1:16">
      <c r="A831" t="s">
        <v>1484</v>
      </c>
      <c r="B831" t="s">
        <v>525</v>
      </c>
      <c r="C831">
        <v>5</v>
      </c>
      <c r="D831" t="s">
        <v>12</v>
      </c>
      <c r="E831" s="2">
        <v>45860</v>
      </c>
      <c r="F831" s="2">
        <v>45864</v>
      </c>
      <c r="G831" t="s">
        <v>49</v>
      </c>
      <c r="H831" t="s">
        <v>378</v>
      </c>
      <c r="I831" s="3">
        <v>4474.62</v>
      </c>
      <c r="J831" t="s">
        <v>20</v>
      </c>
      <c r="K831" s="4">
        <v>1</v>
      </c>
      <c r="L831" s="3">
        <f t="shared" si="48"/>
        <v>4474.62</v>
      </c>
      <c r="M831" s="3">
        <f t="shared" si="49"/>
        <v>0</v>
      </c>
      <c r="N831">
        <f t="shared" si="50"/>
        <v>4</v>
      </c>
      <c r="O831" s="3">
        <f t="shared" si="51"/>
        <v>0</v>
      </c>
      <c r="P831" t="str" cm="1">
        <f t="array" ref="P831">_xlfn.IFS(C831&lt;18, "Under 18", C831&lt;36, "Btw 18&amp;35", C831&lt;51, "Btw 36&amp;50", C831&lt;66, "Btw 51&amp;65", C831&gt;=66," 66&amp;Above")</f>
        <v>Under 18</v>
      </c>
    </row>
    <row r="832" spans="1:16">
      <c r="A832" t="s">
        <v>1485</v>
      </c>
      <c r="B832" t="s">
        <v>1486</v>
      </c>
      <c r="C832">
        <v>13</v>
      </c>
      <c r="D832" t="s">
        <v>12</v>
      </c>
      <c r="E832" s="2">
        <v>45658</v>
      </c>
      <c r="F832" s="2">
        <v>45662</v>
      </c>
      <c r="G832" t="s">
        <v>49</v>
      </c>
      <c r="H832" t="s">
        <v>378</v>
      </c>
      <c r="I832" s="3">
        <v>3553.09</v>
      </c>
      <c r="J832" t="s">
        <v>20</v>
      </c>
      <c r="K832" s="4">
        <v>0.6</v>
      </c>
      <c r="L832" s="3">
        <f t="shared" si="48"/>
        <v>2131.8539999999998</v>
      </c>
      <c r="M832" s="3">
        <f t="shared" si="49"/>
        <v>1421.2360000000001</v>
      </c>
      <c r="N832">
        <f t="shared" si="50"/>
        <v>4</v>
      </c>
      <c r="O832" s="3">
        <f t="shared" si="51"/>
        <v>0</v>
      </c>
      <c r="P832" t="str" cm="1">
        <f t="array" ref="P832">_xlfn.IFS(C832&lt;18, "Under 18", C832&lt;36, "Btw 18&amp;35", C832&lt;51, "Btw 36&amp;50", C832&lt;66, "Btw 51&amp;65", C832&gt;=66," 66&amp;Above")</f>
        <v>Under 18</v>
      </c>
    </row>
    <row r="833" spans="1:16">
      <c r="A833" t="s">
        <v>1487</v>
      </c>
      <c r="B833" t="s">
        <v>1488</v>
      </c>
      <c r="C833">
        <v>16</v>
      </c>
      <c r="D833" t="s">
        <v>12</v>
      </c>
      <c r="E833" s="2">
        <v>45952</v>
      </c>
      <c r="F833" s="2">
        <v>45954</v>
      </c>
      <c r="G833" t="s">
        <v>49</v>
      </c>
      <c r="H833" t="s">
        <v>117</v>
      </c>
      <c r="I833" s="3">
        <v>2767.65</v>
      </c>
      <c r="J833" t="s">
        <v>15</v>
      </c>
      <c r="K833" s="4">
        <v>0.7</v>
      </c>
      <c r="L833" s="3">
        <f t="shared" si="48"/>
        <v>1937.355</v>
      </c>
      <c r="M833" s="3">
        <f t="shared" si="49"/>
        <v>830.29500000000019</v>
      </c>
      <c r="N833">
        <f t="shared" si="50"/>
        <v>2</v>
      </c>
      <c r="O833" s="3">
        <f t="shared" si="51"/>
        <v>2767.65</v>
      </c>
      <c r="P833" t="str" cm="1">
        <f t="array" ref="P833">_xlfn.IFS(C833&lt;18, "Under 18", C833&lt;36, "Btw 18&amp;35", C833&lt;51, "Btw 36&amp;50", C833&lt;66, "Btw 51&amp;65", C833&gt;=66," 66&amp;Above")</f>
        <v>Under 18</v>
      </c>
    </row>
    <row r="834" spans="1:16">
      <c r="A834" t="s">
        <v>1489</v>
      </c>
      <c r="B834" t="s">
        <v>672</v>
      </c>
      <c r="C834">
        <v>14</v>
      </c>
      <c r="D834" t="s">
        <v>12</v>
      </c>
      <c r="E834" s="2">
        <v>45452</v>
      </c>
      <c r="F834" s="2">
        <v>45454</v>
      </c>
      <c r="G834" t="s">
        <v>49</v>
      </c>
      <c r="H834" t="s">
        <v>50</v>
      </c>
      <c r="I834" s="3">
        <v>2721.43</v>
      </c>
      <c r="J834" t="s">
        <v>15</v>
      </c>
      <c r="K834" s="4">
        <v>0.8</v>
      </c>
      <c r="L834" s="3">
        <f t="shared" si="48"/>
        <v>2177.1439999999998</v>
      </c>
      <c r="M834" s="3">
        <f t="shared" si="49"/>
        <v>544.28599999999983</v>
      </c>
      <c r="N834">
        <f t="shared" si="50"/>
        <v>2</v>
      </c>
      <c r="O834" s="3">
        <f t="shared" si="51"/>
        <v>2721.43</v>
      </c>
      <c r="P834" t="str" cm="1">
        <f t="array" ref="P834">_xlfn.IFS(C834&lt;18, "Under 18", C834&lt;36, "Btw 18&amp;35", C834&lt;51, "Btw 36&amp;50", C834&lt;66, "Btw 51&amp;65", C834&gt;=66," 66&amp;Above")</f>
        <v>Under 18</v>
      </c>
    </row>
    <row r="835" spans="1:16">
      <c r="A835" t="s">
        <v>1490</v>
      </c>
      <c r="B835" t="s">
        <v>1491</v>
      </c>
      <c r="C835">
        <v>21</v>
      </c>
      <c r="D835" t="s">
        <v>18</v>
      </c>
      <c r="E835" s="2">
        <v>45573</v>
      </c>
      <c r="F835" s="2">
        <v>45576</v>
      </c>
      <c r="G835" t="s">
        <v>23</v>
      </c>
      <c r="H835" t="s">
        <v>204</v>
      </c>
      <c r="I835" s="3">
        <v>2887.15</v>
      </c>
      <c r="J835" t="s">
        <v>25</v>
      </c>
      <c r="K835" s="4">
        <v>0.9</v>
      </c>
      <c r="L835" s="3">
        <f t="shared" ref="L835:L898" si="52">I835*K835</f>
        <v>2598.4349999999999</v>
      </c>
      <c r="M835" s="3">
        <f t="shared" ref="M835:M898" si="53">(100%-K835)*I835</f>
        <v>288.71499999999992</v>
      </c>
      <c r="N835">
        <f t="shared" ref="N835:N898" si="54">_xlfn.DAYS(F835,E835)</f>
        <v>3</v>
      </c>
      <c r="O835" s="3">
        <f t="shared" ref="O835:O898" si="55">IF(J835="Paid", I835, 0)</f>
        <v>0</v>
      </c>
      <c r="P835" t="str" cm="1">
        <f t="array" ref="P835">_xlfn.IFS(C835&lt;18, "Under 18", C835&lt;36, "Btw 18&amp;35", C835&lt;51, "Btw 36&amp;50", C835&lt;66, "Btw 51&amp;65", C835&gt;=66," 66&amp;Above")</f>
        <v>Btw 18&amp;35</v>
      </c>
    </row>
    <row r="836" spans="1:16">
      <c r="A836" t="s">
        <v>1492</v>
      </c>
      <c r="B836" t="s">
        <v>1493</v>
      </c>
      <c r="C836">
        <v>29</v>
      </c>
      <c r="D836" t="s">
        <v>12</v>
      </c>
      <c r="E836" s="2">
        <v>45552</v>
      </c>
      <c r="F836" s="2">
        <v>45555</v>
      </c>
      <c r="G836" t="s">
        <v>23</v>
      </c>
      <c r="H836" t="s">
        <v>24</v>
      </c>
      <c r="I836" s="3">
        <v>7071.48</v>
      </c>
      <c r="J836" t="s">
        <v>15</v>
      </c>
      <c r="K836" s="4">
        <v>0.8</v>
      </c>
      <c r="L836" s="3">
        <f t="shared" si="52"/>
        <v>5657.1840000000002</v>
      </c>
      <c r="M836" s="3">
        <f t="shared" si="53"/>
        <v>1414.2959999999996</v>
      </c>
      <c r="N836">
        <f t="shared" si="54"/>
        <v>3</v>
      </c>
      <c r="O836" s="3">
        <f t="shared" si="55"/>
        <v>7071.48</v>
      </c>
      <c r="P836" t="str" cm="1">
        <f t="array" ref="P836">_xlfn.IFS(C836&lt;18, "Under 18", C836&lt;36, "Btw 18&amp;35", C836&lt;51, "Btw 36&amp;50", C836&lt;66, "Btw 51&amp;65", C836&gt;=66," 66&amp;Above")</f>
        <v>Btw 18&amp;35</v>
      </c>
    </row>
    <row r="837" spans="1:16">
      <c r="A837" t="s">
        <v>1494</v>
      </c>
      <c r="B837" t="s">
        <v>1495</v>
      </c>
      <c r="C837">
        <v>72</v>
      </c>
      <c r="D837" t="s">
        <v>18</v>
      </c>
      <c r="E837" s="2">
        <v>45300</v>
      </c>
      <c r="F837" s="2">
        <v>45304</v>
      </c>
      <c r="G837" t="s">
        <v>13</v>
      </c>
      <c r="H837" t="s">
        <v>165</v>
      </c>
      <c r="I837" s="3">
        <v>8289.81</v>
      </c>
      <c r="J837" t="s">
        <v>15</v>
      </c>
      <c r="K837" s="4">
        <v>0.8</v>
      </c>
      <c r="L837" s="3">
        <f t="shared" si="52"/>
        <v>6631.848</v>
      </c>
      <c r="M837" s="3">
        <f t="shared" si="53"/>
        <v>1657.9619999999995</v>
      </c>
      <c r="N837">
        <f t="shared" si="54"/>
        <v>4</v>
      </c>
      <c r="O837" s="3">
        <f t="shared" si="55"/>
        <v>8289.81</v>
      </c>
      <c r="P837" t="str" cm="1">
        <f t="array" ref="P837">_xlfn.IFS(C837&lt;18, "Under 18", C837&lt;36, "Btw 18&amp;35", C837&lt;51, "Btw 36&amp;50", C837&lt;66, "Btw 51&amp;65", C837&gt;=66," 66&amp;Above")</f>
        <v xml:space="preserve"> 66&amp;Above</v>
      </c>
    </row>
    <row r="838" spans="1:16">
      <c r="A838" t="s">
        <v>1496</v>
      </c>
      <c r="B838" t="s">
        <v>527</v>
      </c>
      <c r="C838">
        <v>20</v>
      </c>
      <c r="D838" t="s">
        <v>18</v>
      </c>
      <c r="E838" s="2">
        <v>45844</v>
      </c>
      <c r="F838" s="2">
        <v>45847</v>
      </c>
      <c r="G838" t="s">
        <v>31</v>
      </c>
      <c r="H838" t="s">
        <v>114</v>
      </c>
      <c r="I838" s="3">
        <v>1605.53</v>
      </c>
      <c r="J838" t="s">
        <v>15</v>
      </c>
      <c r="K838" s="4">
        <v>0.8</v>
      </c>
      <c r="L838" s="3">
        <f t="shared" si="52"/>
        <v>1284.424</v>
      </c>
      <c r="M838" s="3">
        <f t="shared" si="53"/>
        <v>321.10599999999994</v>
      </c>
      <c r="N838">
        <f t="shared" si="54"/>
        <v>3</v>
      </c>
      <c r="O838" s="3">
        <f t="shared" si="55"/>
        <v>1605.53</v>
      </c>
      <c r="P838" t="str" cm="1">
        <f t="array" ref="P838">_xlfn.IFS(C838&lt;18, "Under 18", C838&lt;36, "Btw 18&amp;35", C838&lt;51, "Btw 36&amp;50", C838&lt;66, "Btw 51&amp;65", C838&gt;=66," 66&amp;Above")</f>
        <v>Btw 18&amp;35</v>
      </c>
    </row>
    <row r="839" spans="1:16">
      <c r="A839" t="s">
        <v>1497</v>
      </c>
      <c r="B839" t="s">
        <v>86</v>
      </c>
      <c r="C839">
        <v>26</v>
      </c>
      <c r="D839" t="s">
        <v>18</v>
      </c>
      <c r="E839" s="2">
        <v>45672</v>
      </c>
      <c r="F839" s="2">
        <v>45675</v>
      </c>
      <c r="G839" t="s">
        <v>31</v>
      </c>
      <c r="H839" t="s">
        <v>114</v>
      </c>
      <c r="I839" s="3">
        <v>3803.99</v>
      </c>
      <c r="J839" t="s">
        <v>25</v>
      </c>
      <c r="K839" s="4">
        <v>0.5</v>
      </c>
      <c r="L839" s="3">
        <f t="shared" si="52"/>
        <v>1901.9949999999999</v>
      </c>
      <c r="M839" s="3">
        <f t="shared" si="53"/>
        <v>1901.9949999999999</v>
      </c>
      <c r="N839">
        <f t="shared" si="54"/>
        <v>3</v>
      </c>
      <c r="O839" s="3">
        <f t="shared" si="55"/>
        <v>0</v>
      </c>
      <c r="P839" t="str" cm="1">
        <f t="array" ref="P839">_xlfn.IFS(C839&lt;18, "Under 18", C839&lt;36, "Btw 18&amp;35", C839&lt;51, "Btw 36&amp;50", C839&lt;66, "Btw 51&amp;65", C839&gt;=66," 66&amp;Above")</f>
        <v>Btw 18&amp;35</v>
      </c>
    </row>
    <row r="840" spans="1:16">
      <c r="A840" t="s">
        <v>1498</v>
      </c>
      <c r="B840" t="s">
        <v>1499</v>
      </c>
      <c r="C840">
        <v>41</v>
      </c>
      <c r="D840" t="s">
        <v>18</v>
      </c>
      <c r="E840" s="2">
        <v>45913</v>
      </c>
      <c r="F840" s="2">
        <v>45919</v>
      </c>
      <c r="G840" t="s">
        <v>60</v>
      </c>
      <c r="H840" t="s">
        <v>142</v>
      </c>
      <c r="I840" s="3">
        <v>11654.43</v>
      </c>
      <c r="J840" t="s">
        <v>25</v>
      </c>
      <c r="K840" s="4">
        <v>0</v>
      </c>
      <c r="L840" s="3">
        <f t="shared" si="52"/>
        <v>0</v>
      </c>
      <c r="M840" s="3">
        <f t="shared" si="53"/>
        <v>11654.43</v>
      </c>
      <c r="N840">
        <f t="shared" si="54"/>
        <v>6</v>
      </c>
      <c r="O840" s="3">
        <f t="shared" si="55"/>
        <v>0</v>
      </c>
      <c r="P840" t="str" cm="1">
        <f t="array" ref="P840">_xlfn.IFS(C840&lt;18, "Under 18", C840&lt;36, "Btw 18&amp;35", C840&lt;51, "Btw 36&amp;50", C840&lt;66, "Btw 51&amp;65", C840&gt;=66," 66&amp;Above")</f>
        <v>Btw 36&amp;50</v>
      </c>
    </row>
    <row r="841" spans="1:16">
      <c r="A841" t="s">
        <v>1500</v>
      </c>
      <c r="B841" t="s">
        <v>1501</v>
      </c>
      <c r="C841">
        <v>1</v>
      </c>
      <c r="D841" t="s">
        <v>12</v>
      </c>
      <c r="E841" s="2">
        <v>46004</v>
      </c>
      <c r="F841" s="2">
        <v>46006</v>
      </c>
      <c r="G841" t="s">
        <v>49</v>
      </c>
      <c r="H841" t="s">
        <v>130</v>
      </c>
      <c r="I841" s="3">
        <v>3542.96</v>
      </c>
      <c r="J841" t="s">
        <v>25</v>
      </c>
      <c r="K841" s="4">
        <v>0.8</v>
      </c>
      <c r="L841" s="3">
        <f t="shared" si="52"/>
        <v>2834.3680000000004</v>
      </c>
      <c r="M841" s="3">
        <f t="shared" si="53"/>
        <v>708.59199999999987</v>
      </c>
      <c r="N841">
        <f t="shared" si="54"/>
        <v>2</v>
      </c>
      <c r="O841" s="3">
        <f t="shared" si="55"/>
        <v>0</v>
      </c>
      <c r="P841" t="str" cm="1">
        <f t="array" ref="P841">_xlfn.IFS(C841&lt;18, "Under 18", C841&lt;36, "Btw 18&amp;35", C841&lt;51, "Btw 36&amp;50", C841&lt;66, "Btw 51&amp;65", C841&gt;=66," 66&amp;Above")</f>
        <v>Under 18</v>
      </c>
    </row>
    <row r="842" spans="1:16">
      <c r="A842" t="s">
        <v>1502</v>
      </c>
      <c r="B842" t="s">
        <v>286</v>
      </c>
      <c r="C842">
        <v>1</v>
      </c>
      <c r="D842" t="s">
        <v>12</v>
      </c>
      <c r="E842" s="2">
        <v>45997</v>
      </c>
      <c r="F842" s="2">
        <v>46002</v>
      </c>
      <c r="G842" t="s">
        <v>49</v>
      </c>
      <c r="H842" t="s">
        <v>120</v>
      </c>
      <c r="I842" s="3">
        <v>6340.11</v>
      </c>
      <c r="J842" t="s">
        <v>20</v>
      </c>
      <c r="K842" s="4">
        <v>0.7</v>
      </c>
      <c r="L842" s="3">
        <f t="shared" si="52"/>
        <v>4438.0769999999993</v>
      </c>
      <c r="M842" s="3">
        <f t="shared" si="53"/>
        <v>1902.0330000000001</v>
      </c>
      <c r="N842">
        <f t="shared" si="54"/>
        <v>5</v>
      </c>
      <c r="O842" s="3">
        <f t="shared" si="55"/>
        <v>0</v>
      </c>
      <c r="P842" t="str" cm="1">
        <f t="array" ref="P842">_xlfn.IFS(C842&lt;18, "Under 18", C842&lt;36, "Btw 18&amp;35", C842&lt;51, "Btw 36&amp;50", C842&lt;66, "Btw 51&amp;65", C842&gt;=66," 66&amp;Above")</f>
        <v>Under 18</v>
      </c>
    </row>
    <row r="843" spans="1:16">
      <c r="A843" t="s">
        <v>1503</v>
      </c>
      <c r="B843" t="s">
        <v>1504</v>
      </c>
      <c r="C843">
        <v>31</v>
      </c>
      <c r="D843" t="s">
        <v>12</v>
      </c>
      <c r="E843" s="2">
        <v>45386</v>
      </c>
      <c r="F843" s="2">
        <v>45399</v>
      </c>
      <c r="G843" t="s">
        <v>60</v>
      </c>
      <c r="H843" t="s">
        <v>97</v>
      </c>
      <c r="I843" s="3">
        <v>33330.199999999997</v>
      </c>
      <c r="J843" t="s">
        <v>15</v>
      </c>
      <c r="K843" s="4">
        <v>0.6</v>
      </c>
      <c r="L843" s="3">
        <f t="shared" si="52"/>
        <v>19998.12</v>
      </c>
      <c r="M843" s="3">
        <f t="shared" si="53"/>
        <v>13332.08</v>
      </c>
      <c r="N843">
        <f t="shared" si="54"/>
        <v>13</v>
      </c>
      <c r="O843" s="3">
        <f t="shared" si="55"/>
        <v>33330.199999999997</v>
      </c>
      <c r="P843" t="str" cm="1">
        <f t="array" ref="P843">_xlfn.IFS(C843&lt;18, "Under 18", C843&lt;36, "Btw 18&amp;35", C843&lt;51, "Btw 36&amp;50", C843&lt;66, "Btw 51&amp;65", C843&gt;=66," 66&amp;Above")</f>
        <v>Btw 18&amp;35</v>
      </c>
    </row>
    <row r="844" spans="1:16">
      <c r="A844" t="s">
        <v>1505</v>
      </c>
      <c r="B844" t="s">
        <v>1107</v>
      </c>
      <c r="C844">
        <v>35</v>
      </c>
      <c r="D844" t="s">
        <v>18</v>
      </c>
      <c r="E844" s="2">
        <v>45649</v>
      </c>
      <c r="F844" s="2">
        <v>45652</v>
      </c>
      <c r="G844" t="s">
        <v>60</v>
      </c>
      <c r="H844" t="s">
        <v>77</v>
      </c>
      <c r="I844" s="3">
        <v>4622.9399999999996</v>
      </c>
      <c r="J844" t="s">
        <v>15</v>
      </c>
      <c r="K844" s="4">
        <v>0.9</v>
      </c>
      <c r="L844" s="3">
        <f t="shared" si="52"/>
        <v>4160.6459999999997</v>
      </c>
      <c r="M844" s="3">
        <f t="shared" si="53"/>
        <v>462.29399999999987</v>
      </c>
      <c r="N844">
        <f t="shared" si="54"/>
        <v>3</v>
      </c>
      <c r="O844" s="3">
        <f t="shared" si="55"/>
        <v>4622.9399999999996</v>
      </c>
      <c r="P844" t="str" cm="1">
        <f t="array" ref="P844">_xlfn.IFS(C844&lt;18, "Under 18", C844&lt;36, "Btw 18&amp;35", C844&lt;51, "Btw 36&amp;50", C844&lt;66, "Btw 51&amp;65", C844&gt;=66," 66&amp;Above")</f>
        <v>Btw 18&amp;35</v>
      </c>
    </row>
    <row r="845" spans="1:16">
      <c r="A845" t="s">
        <v>1506</v>
      </c>
      <c r="B845" t="s">
        <v>1507</v>
      </c>
      <c r="C845">
        <v>2</v>
      </c>
      <c r="D845" t="s">
        <v>12</v>
      </c>
      <c r="E845" s="2">
        <v>45472</v>
      </c>
      <c r="F845" s="2">
        <v>45477</v>
      </c>
      <c r="G845" t="s">
        <v>49</v>
      </c>
      <c r="H845" t="s">
        <v>123</v>
      </c>
      <c r="I845" s="3">
        <v>6314.88</v>
      </c>
      <c r="J845" t="s">
        <v>15</v>
      </c>
      <c r="K845" s="4">
        <v>0.7</v>
      </c>
      <c r="L845" s="3">
        <f t="shared" si="52"/>
        <v>4420.4160000000002</v>
      </c>
      <c r="M845" s="3">
        <f t="shared" si="53"/>
        <v>1894.4640000000004</v>
      </c>
      <c r="N845">
        <f t="shared" si="54"/>
        <v>5</v>
      </c>
      <c r="O845" s="3">
        <f t="shared" si="55"/>
        <v>6314.88</v>
      </c>
      <c r="P845" t="str" cm="1">
        <f t="array" ref="P845">_xlfn.IFS(C845&lt;18, "Under 18", C845&lt;36, "Btw 18&amp;35", C845&lt;51, "Btw 36&amp;50", C845&lt;66, "Btw 51&amp;65", C845&gt;=66," 66&amp;Above")</f>
        <v>Under 18</v>
      </c>
    </row>
    <row r="846" spans="1:16">
      <c r="A846" t="s">
        <v>1508</v>
      </c>
      <c r="B846" t="s">
        <v>1509</v>
      </c>
      <c r="C846">
        <v>25</v>
      </c>
      <c r="D846" t="s">
        <v>12</v>
      </c>
      <c r="E846" s="2">
        <v>45409</v>
      </c>
      <c r="F846" s="2">
        <v>45423</v>
      </c>
      <c r="G846" t="s">
        <v>60</v>
      </c>
      <c r="H846" t="s">
        <v>97</v>
      </c>
      <c r="I846" s="3">
        <v>25971.47</v>
      </c>
      <c r="J846" t="s">
        <v>20</v>
      </c>
      <c r="K846" s="4">
        <v>0.8</v>
      </c>
      <c r="L846" s="3">
        <f t="shared" si="52"/>
        <v>20777.176000000003</v>
      </c>
      <c r="M846" s="3">
        <f t="shared" si="53"/>
        <v>5194.293999999999</v>
      </c>
      <c r="N846">
        <f t="shared" si="54"/>
        <v>14</v>
      </c>
      <c r="O846" s="3">
        <f t="shared" si="55"/>
        <v>0</v>
      </c>
      <c r="P846" t="str" cm="1">
        <f t="array" ref="P846">_xlfn.IFS(C846&lt;18, "Under 18", C846&lt;36, "Btw 18&amp;35", C846&lt;51, "Btw 36&amp;50", C846&lt;66, "Btw 51&amp;65", C846&gt;=66," 66&amp;Above")</f>
        <v>Btw 18&amp;35</v>
      </c>
    </row>
    <row r="847" spans="1:16">
      <c r="A847" t="s">
        <v>1510</v>
      </c>
      <c r="B847" t="s">
        <v>1341</v>
      </c>
      <c r="C847">
        <v>44</v>
      </c>
      <c r="D847" t="s">
        <v>18</v>
      </c>
      <c r="E847" s="2">
        <v>45346</v>
      </c>
      <c r="F847" s="2">
        <v>45351</v>
      </c>
      <c r="G847" t="s">
        <v>31</v>
      </c>
      <c r="H847" t="s">
        <v>234</v>
      </c>
      <c r="I847" s="3">
        <v>2926.43</v>
      </c>
      <c r="J847" t="s">
        <v>15</v>
      </c>
      <c r="K847" s="4">
        <v>0.9</v>
      </c>
      <c r="L847" s="3">
        <f t="shared" si="52"/>
        <v>2633.7869999999998</v>
      </c>
      <c r="M847" s="3">
        <f t="shared" si="53"/>
        <v>292.64299999999992</v>
      </c>
      <c r="N847">
        <f t="shared" si="54"/>
        <v>5</v>
      </c>
      <c r="O847" s="3">
        <f t="shared" si="55"/>
        <v>2926.43</v>
      </c>
      <c r="P847" t="str" cm="1">
        <f t="array" ref="P847">_xlfn.IFS(C847&lt;18, "Under 18", C847&lt;36, "Btw 18&amp;35", C847&lt;51, "Btw 36&amp;50", C847&lt;66, "Btw 51&amp;65", C847&gt;=66," 66&amp;Above")</f>
        <v>Btw 36&amp;50</v>
      </c>
    </row>
    <row r="848" spans="1:16">
      <c r="A848" t="s">
        <v>1511</v>
      </c>
      <c r="B848" t="s">
        <v>1512</v>
      </c>
      <c r="C848">
        <v>39</v>
      </c>
      <c r="D848" t="s">
        <v>12</v>
      </c>
      <c r="E848" s="2">
        <v>45931</v>
      </c>
      <c r="F848" s="2">
        <v>45936</v>
      </c>
      <c r="G848" t="s">
        <v>31</v>
      </c>
      <c r="H848" t="s">
        <v>44</v>
      </c>
      <c r="I848" s="3">
        <v>6712.97</v>
      </c>
      <c r="J848" t="s">
        <v>20</v>
      </c>
      <c r="K848" s="4">
        <v>0.8</v>
      </c>
      <c r="L848" s="3">
        <f t="shared" si="52"/>
        <v>5370.3760000000002</v>
      </c>
      <c r="M848" s="3">
        <f t="shared" si="53"/>
        <v>1342.5939999999998</v>
      </c>
      <c r="N848">
        <f t="shared" si="54"/>
        <v>5</v>
      </c>
      <c r="O848" s="3">
        <f t="shared" si="55"/>
        <v>0</v>
      </c>
      <c r="P848" t="str" cm="1">
        <f t="array" ref="P848">_xlfn.IFS(C848&lt;18, "Under 18", C848&lt;36, "Btw 18&amp;35", C848&lt;51, "Btw 36&amp;50", C848&lt;66, "Btw 51&amp;65", C848&gt;=66," 66&amp;Above")</f>
        <v>Btw 36&amp;50</v>
      </c>
    </row>
    <row r="849" spans="1:16">
      <c r="A849" t="s">
        <v>1513</v>
      </c>
      <c r="B849" t="s">
        <v>1455</v>
      </c>
      <c r="C849">
        <v>72</v>
      </c>
      <c r="D849" t="s">
        <v>18</v>
      </c>
      <c r="E849" s="2">
        <v>45539</v>
      </c>
      <c r="F849" s="2">
        <v>45542</v>
      </c>
      <c r="G849" t="s">
        <v>31</v>
      </c>
      <c r="H849" t="s">
        <v>35</v>
      </c>
      <c r="I849" s="3">
        <v>3235.11</v>
      </c>
      <c r="J849" t="s">
        <v>15</v>
      </c>
      <c r="K849" s="4">
        <v>0.8</v>
      </c>
      <c r="L849" s="3">
        <f t="shared" si="52"/>
        <v>2588.0880000000002</v>
      </c>
      <c r="M849" s="3">
        <f t="shared" si="53"/>
        <v>647.02199999999993</v>
      </c>
      <c r="N849">
        <f t="shared" si="54"/>
        <v>3</v>
      </c>
      <c r="O849" s="3">
        <f t="shared" si="55"/>
        <v>3235.11</v>
      </c>
      <c r="P849" t="str" cm="1">
        <f t="array" ref="P849">_xlfn.IFS(C849&lt;18, "Under 18", C849&lt;36, "Btw 18&amp;35", C849&lt;51, "Btw 36&amp;50", C849&lt;66, "Btw 51&amp;65", C849&gt;=66," 66&amp;Above")</f>
        <v xml:space="preserve"> 66&amp;Above</v>
      </c>
    </row>
    <row r="850" spans="1:16">
      <c r="A850" t="s">
        <v>1514</v>
      </c>
      <c r="B850" t="s">
        <v>1515</v>
      </c>
      <c r="C850">
        <v>64</v>
      </c>
      <c r="D850" t="s">
        <v>12</v>
      </c>
      <c r="E850" s="2">
        <v>45969</v>
      </c>
      <c r="F850" s="2">
        <v>45970</v>
      </c>
      <c r="G850" t="s">
        <v>23</v>
      </c>
      <c r="H850" t="s">
        <v>41</v>
      </c>
      <c r="I850" s="3">
        <v>1023.76</v>
      </c>
      <c r="J850" t="s">
        <v>15</v>
      </c>
      <c r="K850" s="4">
        <v>1</v>
      </c>
      <c r="L850" s="3">
        <f t="shared" si="52"/>
        <v>1023.76</v>
      </c>
      <c r="M850" s="3">
        <f t="shared" si="53"/>
        <v>0</v>
      </c>
      <c r="N850">
        <f t="shared" si="54"/>
        <v>1</v>
      </c>
      <c r="O850" s="3">
        <f t="shared" si="55"/>
        <v>1023.76</v>
      </c>
      <c r="P850" t="str" cm="1">
        <f t="array" ref="P850">_xlfn.IFS(C850&lt;18, "Under 18", C850&lt;36, "Btw 18&amp;35", C850&lt;51, "Btw 36&amp;50", C850&lt;66, "Btw 51&amp;65", C850&gt;=66," 66&amp;Above")</f>
        <v>Btw 51&amp;65</v>
      </c>
    </row>
    <row r="851" spans="1:16">
      <c r="A851" t="s">
        <v>1516</v>
      </c>
      <c r="B851" t="s">
        <v>969</v>
      </c>
      <c r="C851">
        <v>15</v>
      </c>
      <c r="D851" t="s">
        <v>18</v>
      </c>
      <c r="E851" s="2">
        <v>45731</v>
      </c>
      <c r="F851" s="2">
        <v>45736</v>
      </c>
      <c r="G851" t="s">
        <v>49</v>
      </c>
      <c r="H851" t="s">
        <v>117</v>
      </c>
      <c r="I851" s="3">
        <v>3307.88</v>
      </c>
      <c r="J851" t="s">
        <v>25</v>
      </c>
      <c r="K851" s="4">
        <v>0.8</v>
      </c>
      <c r="L851" s="3">
        <f t="shared" si="52"/>
        <v>2646.3040000000001</v>
      </c>
      <c r="M851" s="3">
        <f t="shared" si="53"/>
        <v>661.57599999999991</v>
      </c>
      <c r="N851">
        <f t="shared" si="54"/>
        <v>5</v>
      </c>
      <c r="O851" s="3">
        <f t="shared" si="55"/>
        <v>0</v>
      </c>
      <c r="P851" t="str" cm="1">
        <f t="array" ref="P851">_xlfn.IFS(C851&lt;18, "Under 18", C851&lt;36, "Btw 18&amp;35", C851&lt;51, "Btw 36&amp;50", C851&lt;66, "Btw 51&amp;65", C851&gt;=66," 66&amp;Above")</f>
        <v>Under 18</v>
      </c>
    </row>
    <row r="852" spans="1:16">
      <c r="A852" t="s">
        <v>1517</v>
      </c>
      <c r="B852" t="s">
        <v>1518</v>
      </c>
      <c r="C852">
        <v>1</v>
      </c>
      <c r="D852" t="s">
        <v>12</v>
      </c>
      <c r="E852" s="2">
        <v>45364</v>
      </c>
      <c r="F852" s="2">
        <v>45366</v>
      </c>
      <c r="G852" t="s">
        <v>49</v>
      </c>
      <c r="H852" t="s">
        <v>117</v>
      </c>
      <c r="I852" s="3">
        <v>2503.98</v>
      </c>
      <c r="J852" t="s">
        <v>15</v>
      </c>
      <c r="K852" s="4">
        <v>0.5</v>
      </c>
      <c r="L852" s="3">
        <f t="shared" si="52"/>
        <v>1251.99</v>
      </c>
      <c r="M852" s="3">
        <f t="shared" si="53"/>
        <v>1251.99</v>
      </c>
      <c r="N852">
        <f t="shared" si="54"/>
        <v>2</v>
      </c>
      <c r="O852" s="3">
        <f t="shared" si="55"/>
        <v>2503.98</v>
      </c>
      <c r="P852" t="str" cm="1">
        <f t="array" ref="P852">_xlfn.IFS(C852&lt;18, "Under 18", C852&lt;36, "Btw 18&amp;35", C852&lt;51, "Btw 36&amp;50", C852&lt;66, "Btw 51&amp;65", C852&gt;=66," 66&amp;Above")</f>
        <v>Under 18</v>
      </c>
    </row>
    <row r="853" spans="1:16">
      <c r="A853" t="s">
        <v>1519</v>
      </c>
      <c r="B853" t="s">
        <v>1520</v>
      </c>
      <c r="C853">
        <v>36</v>
      </c>
      <c r="D853" t="s">
        <v>12</v>
      </c>
      <c r="E853" s="2">
        <v>45549</v>
      </c>
      <c r="F853" s="2">
        <v>45555</v>
      </c>
      <c r="G853" t="s">
        <v>60</v>
      </c>
      <c r="H853" t="s">
        <v>61</v>
      </c>
      <c r="I853" s="3">
        <v>9721.9</v>
      </c>
      <c r="J853" t="s">
        <v>20</v>
      </c>
      <c r="K853" s="4">
        <v>0</v>
      </c>
      <c r="L853" s="3">
        <f t="shared" si="52"/>
        <v>0</v>
      </c>
      <c r="M853" s="3">
        <f t="shared" si="53"/>
        <v>9721.9</v>
      </c>
      <c r="N853">
        <f t="shared" si="54"/>
        <v>6</v>
      </c>
      <c r="O853" s="3">
        <f t="shared" si="55"/>
        <v>0</v>
      </c>
      <c r="P853" t="str" cm="1">
        <f t="array" ref="P853">_xlfn.IFS(C853&lt;18, "Under 18", C853&lt;36, "Btw 18&amp;35", C853&lt;51, "Btw 36&amp;50", C853&lt;66, "Btw 51&amp;65", C853&gt;=66," 66&amp;Above")</f>
        <v>Btw 36&amp;50</v>
      </c>
    </row>
    <row r="854" spans="1:16">
      <c r="A854" t="s">
        <v>1521</v>
      </c>
      <c r="B854" t="s">
        <v>1522</v>
      </c>
      <c r="C854">
        <v>45</v>
      </c>
      <c r="D854" t="s">
        <v>12</v>
      </c>
      <c r="E854" s="2">
        <v>45772</v>
      </c>
      <c r="F854" s="2">
        <v>45779</v>
      </c>
      <c r="G854" t="s">
        <v>31</v>
      </c>
      <c r="H854" t="s">
        <v>32</v>
      </c>
      <c r="I854" s="3">
        <v>8925.93</v>
      </c>
      <c r="J854" t="s">
        <v>25</v>
      </c>
      <c r="K854" s="4">
        <v>0.7</v>
      </c>
      <c r="L854" s="3">
        <f t="shared" si="52"/>
        <v>6248.1509999999998</v>
      </c>
      <c r="M854" s="3">
        <f t="shared" si="53"/>
        <v>2677.7790000000005</v>
      </c>
      <c r="N854">
        <f t="shared" si="54"/>
        <v>7</v>
      </c>
      <c r="O854" s="3">
        <f t="shared" si="55"/>
        <v>0</v>
      </c>
      <c r="P854" t="str" cm="1">
        <f t="array" ref="P854">_xlfn.IFS(C854&lt;18, "Under 18", C854&lt;36, "Btw 18&amp;35", C854&lt;51, "Btw 36&amp;50", C854&lt;66, "Btw 51&amp;65", C854&gt;=66," 66&amp;Above")</f>
        <v>Btw 36&amp;50</v>
      </c>
    </row>
    <row r="855" spans="1:16">
      <c r="A855" t="s">
        <v>1523</v>
      </c>
      <c r="B855" t="s">
        <v>1083</v>
      </c>
      <c r="C855">
        <v>31</v>
      </c>
      <c r="D855" t="s">
        <v>12</v>
      </c>
      <c r="E855" s="2">
        <v>45407</v>
      </c>
      <c r="F855" s="2">
        <v>45410</v>
      </c>
      <c r="G855" t="s">
        <v>31</v>
      </c>
      <c r="H855" t="s">
        <v>53</v>
      </c>
      <c r="I855" s="3">
        <v>2423.96</v>
      </c>
      <c r="J855" t="s">
        <v>15</v>
      </c>
      <c r="K855" s="4">
        <v>0.9</v>
      </c>
      <c r="L855" s="3">
        <f t="shared" si="52"/>
        <v>2181.5640000000003</v>
      </c>
      <c r="M855" s="3">
        <f t="shared" si="53"/>
        <v>242.39599999999996</v>
      </c>
      <c r="N855">
        <f t="shared" si="54"/>
        <v>3</v>
      </c>
      <c r="O855" s="3">
        <f t="shared" si="55"/>
        <v>2423.96</v>
      </c>
      <c r="P855" t="str" cm="1">
        <f t="array" ref="P855">_xlfn.IFS(C855&lt;18, "Under 18", C855&lt;36, "Btw 18&amp;35", C855&lt;51, "Btw 36&amp;50", C855&lt;66, "Btw 51&amp;65", C855&gt;=66," 66&amp;Above")</f>
        <v>Btw 18&amp;35</v>
      </c>
    </row>
    <row r="856" spans="1:16">
      <c r="A856" t="s">
        <v>1524</v>
      </c>
      <c r="B856" t="s">
        <v>1525</v>
      </c>
      <c r="C856">
        <v>77</v>
      </c>
      <c r="D856" t="s">
        <v>18</v>
      </c>
      <c r="E856" s="2">
        <v>45612</v>
      </c>
      <c r="F856" s="2">
        <v>45618</v>
      </c>
      <c r="G856" t="s">
        <v>31</v>
      </c>
      <c r="H856" t="s">
        <v>35</v>
      </c>
      <c r="I856" s="3">
        <v>4453.26</v>
      </c>
      <c r="J856" t="s">
        <v>20</v>
      </c>
      <c r="K856" s="4">
        <v>0.6</v>
      </c>
      <c r="L856" s="3">
        <f t="shared" si="52"/>
        <v>2671.9560000000001</v>
      </c>
      <c r="M856" s="3">
        <f t="shared" si="53"/>
        <v>1781.3040000000001</v>
      </c>
      <c r="N856">
        <f t="shared" si="54"/>
        <v>6</v>
      </c>
      <c r="O856" s="3">
        <f t="shared" si="55"/>
        <v>0</v>
      </c>
      <c r="P856" t="str" cm="1">
        <f t="array" ref="P856">_xlfn.IFS(C856&lt;18, "Under 18", C856&lt;36, "Btw 18&amp;35", C856&lt;51, "Btw 36&amp;50", C856&lt;66, "Btw 51&amp;65", C856&gt;=66," 66&amp;Above")</f>
        <v xml:space="preserve"> 66&amp;Above</v>
      </c>
    </row>
    <row r="857" spans="1:16">
      <c r="A857" t="s">
        <v>1526</v>
      </c>
      <c r="B857" t="s">
        <v>290</v>
      </c>
      <c r="C857">
        <v>78</v>
      </c>
      <c r="D857" t="s">
        <v>12</v>
      </c>
      <c r="E857" s="2">
        <v>45547</v>
      </c>
      <c r="F857" s="2">
        <v>45550</v>
      </c>
      <c r="G857" t="s">
        <v>70</v>
      </c>
      <c r="H857" t="s">
        <v>157</v>
      </c>
      <c r="I857" s="3">
        <v>4774.57</v>
      </c>
      <c r="J857" t="s">
        <v>15</v>
      </c>
      <c r="K857" s="4">
        <v>0.9</v>
      </c>
      <c r="L857" s="3">
        <f t="shared" si="52"/>
        <v>4297.1130000000003</v>
      </c>
      <c r="M857" s="3">
        <f t="shared" si="53"/>
        <v>477.45699999999988</v>
      </c>
      <c r="N857">
        <f t="shared" si="54"/>
        <v>3</v>
      </c>
      <c r="O857" s="3">
        <f t="shared" si="55"/>
        <v>4774.57</v>
      </c>
      <c r="P857" t="str" cm="1">
        <f t="array" ref="P857">_xlfn.IFS(C857&lt;18, "Under 18", C857&lt;36, "Btw 18&amp;35", C857&lt;51, "Btw 36&amp;50", C857&lt;66, "Btw 51&amp;65", C857&gt;=66," 66&amp;Above")</f>
        <v xml:space="preserve"> 66&amp;Above</v>
      </c>
    </row>
    <row r="858" spans="1:16">
      <c r="A858" t="s">
        <v>1527</v>
      </c>
      <c r="B858" t="s">
        <v>1089</v>
      </c>
      <c r="C858">
        <v>31</v>
      </c>
      <c r="D858" t="s">
        <v>18</v>
      </c>
      <c r="E858" s="2">
        <v>45382</v>
      </c>
      <c r="F858" s="2">
        <v>45385</v>
      </c>
      <c r="G858" t="s">
        <v>23</v>
      </c>
      <c r="H858" t="s">
        <v>41</v>
      </c>
      <c r="I858" s="3">
        <v>3412</v>
      </c>
      <c r="J858" t="s">
        <v>15</v>
      </c>
      <c r="K858" s="4">
        <v>1</v>
      </c>
      <c r="L858" s="3">
        <f t="shared" si="52"/>
        <v>3412</v>
      </c>
      <c r="M858" s="3">
        <f t="shared" si="53"/>
        <v>0</v>
      </c>
      <c r="N858">
        <f t="shared" si="54"/>
        <v>3</v>
      </c>
      <c r="O858" s="3">
        <f t="shared" si="55"/>
        <v>3412</v>
      </c>
      <c r="P858" t="str" cm="1">
        <f t="array" ref="P858">_xlfn.IFS(C858&lt;18, "Under 18", C858&lt;36, "Btw 18&amp;35", C858&lt;51, "Btw 36&amp;50", C858&lt;66, "Btw 51&amp;65", C858&gt;=66," 66&amp;Above")</f>
        <v>Btw 18&amp;35</v>
      </c>
    </row>
    <row r="859" spans="1:16">
      <c r="A859" t="s">
        <v>1528</v>
      </c>
      <c r="B859" t="s">
        <v>670</v>
      </c>
      <c r="C859">
        <v>51</v>
      </c>
      <c r="D859" t="s">
        <v>18</v>
      </c>
      <c r="E859" s="2">
        <v>45576</v>
      </c>
      <c r="F859" s="2">
        <v>45577</v>
      </c>
      <c r="G859" t="s">
        <v>31</v>
      </c>
      <c r="H859" t="s">
        <v>53</v>
      </c>
      <c r="I859" s="3">
        <v>1093.33</v>
      </c>
      <c r="J859" t="s">
        <v>15</v>
      </c>
      <c r="K859" s="4">
        <v>0.8</v>
      </c>
      <c r="L859" s="3">
        <f t="shared" si="52"/>
        <v>874.66399999999999</v>
      </c>
      <c r="M859" s="3">
        <f t="shared" si="53"/>
        <v>218.66599999999994</v>
      </c>
      <c r="N859">
        <f t="shared" si="54"/>
        <v>1</v>
      </c>
      <c r="O859" s="3">
        <f t="shared" si="55"/>
        <v>1093.33</v>
      </c>
      <c r="P859" t="str" cm="1">
        <f t="array" ref="P859">_xlfn.IFS(C859&lt;18, "Under 18", C859&lt;36, "Btw 18&amp;35", C859&lt;51, "Btw 36&amp;50", C859&lt;66, "Btw 51&amp;65", C859&gt;=66," 66&amp;Above")</f>
        <v>Btw 51&amp;65</v>
      </c>
    </row>
    <row r="860" spans="1:16">
      <c r="A860" t="s">
        <v>1529</v>
      </c>
      <c r="B860" t="s">
        <v>1530</v>
      </c>
      <c r="C860">
        <v>3</v>
      </c>
      <c r="D860" t="s">
        <v>18</v>
      </c>
      <c r="E860" s="2">
        <v>45964</v>
      </c>
      <c r="F860" s="2">
        <v>45968</v>
      </c>
      <c r="G860" t="s">
        <v>49</v>
      </c>
      <c r="H860" t="s">
        <v>50</v>
      </c>
      <c r="I860" s="3">
        <v>5111.21</v>
      </c>
      <c r="J860" t="s">
        <v>15</v>
      </c>
      <c r="K860" s="4">
        <v>1</v>
      </c>
      <c r="L860" s="3">
        <f t="shared" si="52"/>
        <v>5111.21</v>
      </c>
      <c r="M860" s="3">
        <f t="shared" si="53"/>
        <v>0</v>
      </c>
      <c r="N860">
        <f t="shared" si="54"/>
        <v>4</v>
      </c>
      <c r="O860" s="3">
        <f t="shared" si="55"/>
        <v>5111.21</v>
      </c>
      <c r="P860" t="str" cm="1">
        <f t="array" ref="P860">_xlfn.IFS(C860&lt;18, "Under 18", C860&lt;36, "Btw 18&amp;35", C860&lt;51, "Btw 36&amp;50", C860&lt;66, "Btw 51&amp;65", C860&gt;=66," 66&amp;Above")</f>
        <v>Under 18</v>
      </c>
    </row>
    <row r="861" spans="1:16">
      <c r="A861" t="s">
        <v>1531</v>
      </c>
      <c r="B861" t="s">
        <v>1532</v>
      </c>
      <c r="C861">
        <v>75</v>
      </c>
      <c r="D861" t="s">
        <v>12</v>
      </c>
      <c r="E861" s="2">
        <v>45717</v>
      </c>
      <c r="F861" s="2">
        <v>45723</v>
      </c>
      <c r="G861" t="s">
        <v>31</v>
      </c>
      <c r="H861" t="s">
        <v>44</v>
      </c>
      <c r="I861" s="3">
        <v>5375.85</v>
      </c>
      <c r="J861" t="s">
        <v>15</v>
      </c>
      <c r="K861" s="4">
        <v>0.7</v>
      </c>
      <c r="L861" s="3">
        <f t="shared" si="52"/>
        <v>3763.0949999999998</v>
      </c>
      <c r="M861" s="3">
        <f t="shared" si="53"/>
        <v>1612.7550000000003</v>
      </c>
      <c r="N861">
        <f t="shared" si="54"/>
        <v>6</v>
      </c>
      <c r="O861" s="3">
        <f t="shared" si="55"/>
        <v>5375.85</v>
      </c>
      <c r="P861" t="str" cm="1">
        <f t="array" ref="P861">_xlfn.IFS(C861&lt;18, "Under 18", C861&lt;36, "Btw 18&amp;35", C861&lt;51, "Btw 36&amp;50", C861&lt;66, "Btw 51&amp;65", C861&gt;=66," 66&amp;Above")</f>
        <v xml:space="preserve"> 66&amp;Above</v>
      </c>
    </row>
    <row r="862" spans="1:16">
      <c r="A862" t="s">
        <v>1533</v>
      </c>
      <c r="B862" t="s">
        <v>1534</v>
      </c>
      <c r="C862">
        <v>55</v>
      </c>
      <c r="D862" t="s">
        <v>12</v>
      </c>
      <c r="E862" s="2">
        <v>45494</v>
      </c>
      <c r="F862" s="2">
        <v>45498</v>
      </c>
      <c r="G862" t="s">
        <v>60</v>
      </c>
      <c r="H862" t="s">
        <v>61</v>
      </c>
      <c r="I862" s="3">
        <v>9604.6200000000008</v>
      </c>
      <c r="J862" t="s">
        <v>20</v>
      </c>
      <c r="K862" s="4">
        <v>1</v>
      </c>
      <c r="L862" s="3">
        <f t="shared" si="52"/>
        <v>9604.6200000000008</v>
      </c>
      <c r="M862" s="3">
        <f t="shared" si="53"/>
        <v>0</v>
      </c>
      <c r="N862">
        <f t="shared" si="54"/>
        <v>4</v>
      </c>
      <c r="O862" s="3">
        <f t="shared" si="55"/>
        <v>0</v>
      </c>
      <c r="P862" t="str" cm="1">
        <f t="array" ref="P862">_xlfn.IFS(C862&lt;18, "Under 18", C862&lt;36, "Btw 18&amp;35", C862&lt;51, "Btw 36&amp;50", C862&lt;66, "Btw 51&amp;65", C862&gt;=66," 66&amp;Above")</f>
        <v>Btw 51&amp;65</v>
      </c>
    </row>
    <row r="863" spans="1:16">
      <c r="A863" t="s">
        <v>1535</v>
      </c>
      <c r="B863" t="s">
        <v>1536</v>
      </c>
      <c r="C863">
        <v>51</v>
      </c>
      <c r="D863" t="s">
        <v>18</v>
      </c>
      <c r="E863" s="2">
        <v>45633</v>
      </c>
      <c r="F863" s="2">
        <v>45640</v>
      </c>
      <c r="G863" t="s">
        <v>31</v>
      </c>
      <c r="H863" t="s">
        <v>234</v>
      </c>
      <c r="I863" s="3">
        <v>8806.14</v>
      </c>
      <c r="J863" t="s">
        <v>15</v>
      </c>
      <c r="K863" s="4">
        <v>0.7</v>
      </c>
      <c r="L863" s="3">
        <f t="shared" si="52"/>
        <v>6164.2979999999989</v>
      </c>
      <c r="M863" s="3">
        <f t="shared" si="53"/>
        <v>2641.8420000000001</v>
      </c>
      <c r="N863">
        <f t="shared" si="54"/>
        <v>7</v>
      </c>
      <c r="O863" s="3">
        <f t="shared" si="55"/>
        <v>8806.14</v>
      </c>
      <c r="P863" t="str" cm="1">
        <f t="array" ref="P863">_xlfn.IFS(C863&lt;18, "Under 18", C863&lt;36, "Btw 18&amp;35", C863&lt;51, "Btw 36&amp;50", C863&lt;66, "Btw 51&amp;65", C863&gt;=66," 66&amp;Above")</f>
        <v>Btw 51&amp;65</v>
      </c>
    </row>
    <row r="864" spans="1:16">
      <c r="A864" t="s">
        <v>1537</v>
      </c>
      <c r="B864" t="s">
        <v>1538</v>
      </c>
      <c r="C864">
        <v>20</v>
      </c>
      <c r="D864" t="s">
        <v>18</v>
      </c>
      <c r="E864" s="2">
        <v>45686</v>
      </c>
      <c r="F864" s="2">
        <v>45688</v>
      </c>
      <c r="G864" t="s">
        <v>23</v>
      </c>
      <c r="H864" t="s">
        <v>221</v>
      </c>
      <c r="I864" s="3">
        <v>3945.82</v>
      </c>
      <c r="J864" t="s">
        <v>15</v>
      </c>
      <c r="K864" s="4">
        <v>0.8</v>
      </c>
      <c r="L864" s="3">
        <f t="shared" si="52"/>
        <v>3156.6560000000004</v>
      </c>
      <c r="M864" s="3">
        <f t="shared" si="53"/>
        <v>789.16399999999987</v>
      </c>
      <c r="N864">
        <f t="shared" si="54"/>
        <v>2</v>
      </c>
      <c r="O864" s="3">
        <f t="shared" si="55"/>
        <v>3945.82</v>
      </c>
      <c r="P864" t="str" cm="1">
        <f t="array" ref="P864">_xlfn.IFS(C864&lt;18, "Under 18", C864&lt;36, "Btw 18&amp;35", C864&lt;51, "Btw 36&amp;50", C864&lt;66, "Btw 51&amp;65", C864&gt;=66," 66&amp;Above")</f>
        <v>Btw 18&amp;35</v>
      </c>
    </row>
    <row r="865" spans="1:16">
      <c r="A865" t="s">
        <v>1539</v>
      </c>
      <c r="B865" t="s">
        <v>1540</v>
      </c>
      <c r="C865">
        <v>33</v>
      </c>
      <c r="D865" t="s">
        <v>18</v>
      </c>
      <c r="E865" s="2">
        <v>45884</v>
      </c>
      <c r="F865" s="2">
        <v>45885</v>
      </c>
      <c r="G865" t="s">
        <v>23</v>
      </c>
      <c r="H865" t="s">
        <v>204</v>
      </c>
      <c r="I865" s="3">
        <v>2303.3000000000002</v>
      </c>
      <c r="J865" t="s">
        <v>15</v>
      </c>
      <c r="K865" s="4">
        <v>0.8</v>
      </c>
      <c r="L865" s="3">
        <f t="shared" si="52"/>
        <v>1842.6400000000003</v>
      </c>
      <c r="M865" s="3">
        <f t="shared" si="53"/>
        <v>460.65999999999991</v>
      </c>
      <c r="N865">
        <f t="shared" si="54"/>
        <v>1</v>
      </c>
      <c r="O865" s="3">
        <f t="shared" si="55"/>
        <v>2303.3000000000002</v>
      </c>
      <c r="P865" t="str" cm="1">
        <f t="array" ref="P865">_xlfn.IFS(C865&lt;18, "Under 18", C865&lt;36, "Btw 18&amp;35", C865&lt;51, "Btw 36&amp;50", C865&lt;66, "Btw 51&amp;65", C865&gt;=66," 66&amp;Above")</f>
        <v>Btw 18&amp;35</v>
      </c>
    </row>
    <row r="866" spans="1:16">
      <c r="A866" t="s">
        <v>1541</v>
      </c>
      <c r="B866" t="s">
        <v>48</v>
      </c>
      <c r="C866">
        <v>9</v>
      </c>
      <c r="D866" t="s">
        <v>12</v>
      </c>
      <c r="E866" s="2">
        <v>45814</v>
      </c>
      <c r="F866" s="2">
        <v>45815</v>
      </c>
      <c r="G866" t="s">
        <v>49</v>
      </c>
      <c r="H866" t="s">
        <v>120</v>
      </c>
      <c r="I866" s="3">
        <v>1534.49</v>
      </c>
      <c r="J866" t="s">
        <v>15</v>
      </c>
      <c r="K866" s="4">
        <v>0.8</v>
      </c>
      <c r="L866" s="3">
        <f t="shared" si="52"/>
        <v>1227.5920000000001</v>
      </c>
      <c r="M866" s="3">
        <f t="shared" si="53"/>
        <v>306.89799999999991</v>
      </c>
      <c r="N866">
        <f t="shared" si="54"/>
        <v>1</v>
      </c>
      <c r="O866" s="3">
        <f t="shared" si="55"/>
        <v>1534.49</v>
      </c>
      <c r="P866" t="str" cm="1">
        <f t="array" ref="P866">_xlfn.IFS(C866&lt;18, "Under 18", C866&lt;36, "Btw 18&amp;35", C866&lt;51, "Btw 36&amp;50", C866&lt;66, "Btw 51&amp;65", C866&gt;=66," 66&amp;Above")</f>
        <v>Under 18</v>
      </c>
    </row>
    <row r="867" spans="1:16">
      <c r="A867" t="s">
        <v>1542</v>
      </c>
      <c r="B867" t="s">
        <v>1543</v>
      </c>
      <c r="C867">
        <v>27</v>
      </c>
      <c r="D867" t="s">
        <v>12</v>
      </c>
      <c r="E867" s="2">
        <v>45349</v>
      </c>
      <c r="F867" s="2">
        <v>45350</v>
      </c>
      <c r="G867" t="s">
        <v>31</v>
      </c>
      <c r="H867" t="s">
        <v>87</v>
      </c>
      <c r="I867" s="3">
        <v>1353.93</v>
      </c>
      <c r="J867" t="s">
        <v>15</v>
      </c>
      <c r="K867" s="4">
        <v>0.8</v>
      </c>
      <c r="L867" s="3">
        <f t="shared" si="52"/>
        <v>1083.144</v>
      </c>
      <c r="M867" s="3">
        <f t="shared" si="53"/>
        <v>270.78599999999994</v>
      </c>
      <c r="N867">
        <f t="shared" si="54"/>
        <v>1</v>
      </c>
      <c r="O867" s="3">
        <f t="shared" si="55"/>
        <v>1353.93</v>
      </c>
      <c r="P867" t="str" cm="1">
        <f t="array" ref="P867">_xlfn.IFS(C867&lt;18, "Under 18", C867&lt;36, "Btw 18&amp;35", C867&lt;51, "Btw 36&amp;50", C867&lt;66, "Btw 51&amp;65", C867&gt;=66," 66&amp;Above")</f>
        <v>Btw 18&amp;35</v>
      </c>
    </row>
    <row r="868" spans="1:16">
      <c r="A868" t="s">
        <v>1544</v>
      </c>
      <c r="B868" t="s">
        <v>1545</v>
      </c>
      <c r="C868">
        <v>70</v>
      </c>
      <c r="D868" t="s">
        <v>18</v>
      </c>
      <c r="E868" s="2">
        <v>45422</v>
      </c>
      <c r="F868" s="2">
        <v>45428</v>
      </c>
      <c r="G868" t="s">
        <v>13</v>
      </c>
      <c r="H868" t="s">
        <v>165</v>
      </c>
      <c r="I868" s="3">
        <v>12898.02</v>
      </c>
      <c r="J868" t="s">
        <v>20</v>
      </c>
      <c r="K868" s="4">
        <v>0.5</v>
      </c>
      <c r="L868" s="3">
        <f t="shared" si="52"/>
        <v>6449.01</v>
      </c>
      <c r="M868" s="3">
        <f t="shared" si="53"/>
        <v>6449.01</v>
      </c>
      <c r="N868">
        <f t="shared" si="54"/>
        <v>6</v>
      </c>
      <c r="O868" s="3">
        <f t="shared" si="55"/>
        <v>0</v>
      </c>
      <c r="P868" t="str" cm="1">
        <f t="array" ref="P868">_xlfn.IFS(C868&lt;18, "Under 18", C868&lt;36, "Btw 18&amp;35", C868&lt;51, "Btw 36&amp;50", C868&lt;66, "Btw 51&amp;65", C868&gt;=66," 66&amp;Above")</f>
        <v xml:space="preserve"> 66&amp;Above</v>
      </c>
    </row>
    <row r="869" spans="1:16">
      <c r="A869" t="s">
        <v>1546</v>
      </c>
      <c r="B869" t="s">
        <v>1547</v>
      </c>
      <c r="C869">
        <v>62</v>
      </c>
      <c r="D869" t="s">
        <v>18</v>
      </c>
      <c r="E869" s="2">
        <v>45420</v>
      </c>
      <c r="F869" s="2">
        <v>45424</v>
      </c>
      <c r="G869" t="s">
        <v>31</v>
      </c>
      <c r="H869" t="s">
        <v>53</v>
      </c>
      <c r="I869" s="3">
        <v>4833.0200000000004</v>
      </c>
      <c r="J869" t="s">
        <v>25</v>
      </c>
      <c r="K869" s="4">
        <v>0.7</v>
      </c>
      <c r="L869" s="3">
        <f t="shared" si="52"/>
        <v>3383.114</v>
      </c>
      <c r="M869" s="3">
        <f t="shared" si="53"/>
        <v>1449.9060000000004</v>
      </c>
      <c r="N869">
        <f t="shared" si="54"/>
        <v>4</v>
      </c>
      <c r="O869" s="3">
        <f t="shared" si="55"/>
        <v>0</v>
      </c>
      <c r="P869" t="str" cm="1">
        <f t="array" ref="P869">_xlfn.IFS(C869&lt;18, "Under 18", C869&lt;36, "Btw 18&amp;35", C869&lt;51, "Btw 36&amp;50", C869&lt;66, "Btw 51&amp;65", C869&gt;=66," 66&amp;Above")</f>
        <v>Btw 51&amp;65</v>
      </c>
    </row>
    <row r="870" spans="1:16">
      <c r="A870" t="s">
        <v>1548</v>
      </c>
      <c r="B870" t="s">
        <v>573</v>
      </c>
      <c r="C870">
        <v>42</v>
      </c>
      <c r="D870" t="s">
        <v>12</v>
      </c>
      <c r="E870" s="2">
        <v>45619</v>
      </c>
      <c r="F870" s="2">
        <v>45622</v>
      </c>
      <c r="G870" t="s">
        <v>60</v>
      </c>
      <c r="H870" t="s">
        <v>142</v>
      </c>
      <c r="I870" s="3">
        <v>3132.44</v>
      </c>
      <c r="J870" t="s">
        <v>15</v>
      </c>
      <c r="K870" s="4">
        <v>0.8</v>
      </c>
      <c r="L870" s="3">
        <f t="shared" si="52"/>
        <v>2505.9520000000002</v>
      </c>
      <c r="M870" s="3">
        <f t="shared" si="53"/>
        <v>626.48799999999983</v>
      </c>
      <c r="N870">
        <f t="shared" si="54"/>
        <v>3</v>
      </c>
      <c r="O870" s="3">
        <f t="shared" si="55"/>
        <v>3132.44</v>
      </c>
      <c r="P870" t="str" cm="1">
        <f t="array" ref="P870">_xlfn.IFS(C870&lt;18, "Under 18", C870&lt;36, "Btw 18&amp;35", C870&lt;51, "Btw 36&amp;50", C870&lt;66, "Btw 51&amp;65", C870&gt;=66," 66&amp;Above")</f>
        <v>Btw 36&amp;50</v>
      </c>
    </row>
    <row r="871" spans="1:16">
      <c r="A871" t="s">
        <v>1549</v>
      </c>
      <c r="B871" t="s">
        <v>1550</v>
      </c>
      <c r="C871">
        <v>60</v>
      </c>
      <c r="D871" t="s">
        <v>12</v>
      </c>
      <c r="E871" s="2">
        <v>45791</v>
      </c>
      <c r="F871" s="2">
        <v>45798</v>
      </c>
      <c r="G871" t="s">
        <v>70</v>
      </c>
      <c r="H871" t="s">
        <v>157</v>
      </c>
      <c r="I871" s="3">
        <v>9720.49</v>
      </c>
      <c r="J871" t="s">
        <v>20</v>
      </c>
      <c r="K871" s="4">
        <v>0.9</v>
      </c>
      <c r="L871" s="3">
        <f t="shared" si="52"/>
        <v>8748.4410000000007</v>
      </c>
      <c r="M871" s="3">
        <f t="shared" si="53"/>
        <v>972.04899999999975</v>
      </c>
      <c r="N871">
        <f t="shared" si="54"/>
        <v>7</v>
      </c>
      <c r="O871" s="3">
        <f t="shared" si="55"/>
        <v>0</v>
      </c>
      <c r="P871" t="str" cm="1">
        <f t="array" ref="P871">_xlfn.IFS(C871&lt;18, "Under 18", C871&lt;36, "Btw 18&amp;35", C871&lt;51, "Btw 36&amp;50", C871&lt;66, "Btw 51&amp;65", C871&gt;=66," 66&amp;Above")</f>
        <v>Btw 51&amp;65</v>
      </c>
    </row>
    <row r="872" spans="1:16">
      <c r="A872" t="s">
        <v>1551</v>
      </c>
      <c r="B872" t="s">
        <v>848</v>
      </c>
      <c r="C872">
        <v>16</v>
      </c>
      <c r="D872" t="s">
        <v>18</v>
      </c>
      <c r="E872" s="2">
        <v>45682</v>
      </c>
      <c r="F872" s="2">
        <v>45685</v>
      </c>
      <c r="G872" t="s">
        <v>49</v>
      </c>
      <c r="H872" t="s">
        <v>50</v>
      </c>
      <c r="I872" s="3">
        <v>3754.13</v>
      </c>
      <c r="J872" t="s">
        <v>15</v>
      </c>
      <c r="K872" s="4">
        <v>0.8</v>
      </c>
      <c r="L872" s="3">
        <f t="shared" si="52"/>
        <v>3003.3040000000001</v>
      </c>
      <c r="M872" s="3">
        <f t="shared" si="53"/>
        <v>750.82599999999991</v>
      </c>
      <c r="N872">
        <f t="shared" si="54"/>
        <v>3</v>
      </c>
      <c r="O872" s="3">
        <f t="shared" si="55"/>
        <v>3754.13</v>
      </c>
      <c r="P872" t="str" cm="1">
        <f t="array" ref="P872">_xlfn.IFS(C872&lt;18, "Under 18", C872&lt;36, "Btw 18&amp;35", C872&lt;51, "Btw 36&amp;50", C872&lt;66, "Btw 51&amp;65", C872&gt;=66," 66&amp;Above")</f>
        <v>Under 18</v>
      </c>
    </row>
    <row r="873" spans="1:16">
      <c r="A873" t="s">
        <v>1552</v>
      </c>
      <c r="B873" t="s">
        <v>1312</v>
      </c>
      <c r="C873">
        <v>34</v>
      </c>
      <c r="D873" t="s">
        <v>12</v>
      </c>
      <c r="E873" s="2">
        <v>45569</v>
      </c>
      <c r="F873" s="2">
        <v>45573</v>
      </c>
      <c r="G873" t="s">
        <v>31</v>
      </c>
      <c r="H873" t="s">
        <v>44</v>
      </c>
      <c r="I873" s="3">
        <v>5762.53</v>
      </c>
      <c r="J873" t="s">
        <v>15</v>
      </c>
      <c r="K873" s="4">
        <v>0.9</v>
      </c>
      <c r="L873" s="3">
        <f t="shared" si="52"/>
        <v>5186.277</v>
      </c>
      <c r="M873" s="3">
        <f t="shared" si="53"/>
        <v>576.25299999999982</v>
      </c>
      <c r="N873">
        <f t="shared" si="54"/>
        <v>4</v>
      </c>
      <c r="O873" s="3">
        <f t="shared" si="55"/>
        <v>5762.53</v>
      </c>
      <c r="P873" t="str" cm="1">
        <f t="array" ref="P873">_xlfn.IFS(C873&lt;18, "Under 18", C873&lt;36, "Btw 18&amp;35", C873&lt;51, "Btw 36&amp;50", C873&lt;66, "Btw 51&amp;65", C873&gt;=66," 66&amp;Above")</f>
        <v>Btw 18&amp;35</v>
      </c>
    </row>
    <row r="874" spans="1:16">
      <c r="A874" t="s">
        <v>1553</v>
      </c>
      <c r="B874" t="s">
        <v>1554</v>
      </c>
      <c r="C874">
        <v>79</v>
      </c>
      <c r="D874" t="s">
        <v>12</v>
      </c>
      <c r="E874" s="2">
        <v>45968</v>
      </c>
      <c r="F874" s="2">
        <v>45969</v>
      </c>
      <c r="G874" t="s">
        <v>31</v>
      </c>
      <c r="H874" t="s">
        <v>114</v>
      </c>
      <c r="I874" s="3">
        <v>808.56</v>
      </c>
      <c r="J874" t="s">
        <v>15</v>
      </c>
      <c r="K874" s="4">
        <v>0.7</v>
      </c>
      <c r="L874" s="3">
        <f t="shared" si="52"/>
        <v>565.99199999999996</v>
      </c>
      <c r="M874" s="3">
        <f t="shared" si="53"/>
        <v>242.56800000000001</v>
      </c>
      <c r="N874">
        <f t="shared" si="54"/>
        <v>1</v>
      </c>
      <c r="O874" s="3">
        <f t="shared" si="55"/>
        <v>808.56</v>
      </c>
      <c r="P874" t="str" cm="1">
        <f t="array" ref="P874">_xlfn.IFS(C874&lt;18, "Under 18", C874&lt;36, "Btw 18&amp;35", C874&lt;51, "Btw 36&amp;50", C874&lt;66, "Btw 51&amp;65", C874&gt;=66," 66&amp;Above")</f>
        <v xml:space="preserve"> 66&amp;Above</v>
      </c>
    </row>
    <row r="875" spans="1:16">
      <c r="A875" t="s">
        <v>1555</v>
      </c>
      <c r="B875" t="s">
        <v>1556</v>
      </c>
      <c r="C875">
        <v>64</v>
      </c>
      <c r="D875" t="s">
        <v>18</v>
      </c>
      <c r="E875" s="2">
        <v>45973</v>
      </c>
      <c r="F875" s="2">
        <v>45981</v>
      </c>
      <c r="G875" t="s">
        <v>13</v>
      </c>
      <c r="H875" t="s">
        <v>38</v>
      </c>
      <c r="I875" s="3">
        <v>15637.55</v>
      </c>
      <c r="J875" t="s">
        <v>15</v>
      </c>
      <c r="K875" s="4">
        <v>0.9</v>
      </c>
      <c r="L875" s="3">
        <f t="shared" si="52"/>
        <v>14073.795</v>
      </c>
      <c r="M875" s="3">
        <f t="shared" si="53"/>
        <v>1563.7549999999997</v>
      </c>
      <c r="N875">
        <f t="shared" si="54"/>
        <v>8</v>
      </c>
      <c r="O875" s="3">
        <f t="shared" si="55"/>
        <v>15637.55</v>
      </c>
      <c r="P875" t="str" cm="1">
        <f t="array" ref="P875">_xlfn.IFS(C875&lt;18, "Under 18", C875&lt;36, "Btw 18&amp;35", C875&lt;51, "Btw 36&amp;50", C875&lt;66, "Btw 51&amp;65", C875&gt;=66," 66&amp;Above")</f>
        <v>Btw 51&amp;65</v>
      </c>
    </row>
    <row r="876" spans="1:16">
      <c r="A876" t="s">
        <v>1557</v>
      </c>
      <c r="B876" t="s">
        <v>1022</v>
      </c>
      <c r="C876">
        <v>58</v>
      </c>
      <c r="D876" t="s">
        <v>18</v>
      </c>
      <c r="E876" s="2">
        <v>45722</v>
      </c>
      <c r="F876" s="2">
        <v>45724</v>
      </c>
      <c r="G876" t="s">
        <v>23</v>
      </c>
      <c r="H876" t="s">
        <v>41</v>
      </c>
      <c r="I876" s="3">
        <v>4011.18</v>
      </c>
      <c r="J876" t="s">
        <v>15</v>
      </c>
      <c r="K876" s="4">
        <v>0.9</v>
      </c>
      <c r="L876" s="3">
        <f t="shared" si="52"/>
        <v>3610.0619999999999</v>
      </c>
      <c r="M876" s="3">
        <f t="shared" si="53"/>
        <v>401.11799999999988</v>
      </c>
      <c r="N876">
        <f t="shared" si="54"/>
        <v>2</v>
      </c>
      <c r="O876" s="3">
        <f t="shared" si="55"/>
        <v>4011.18</v>
      </c>
      <c r="P876" t="str" cm="1">
        <f t="array" ref="P876">_xlfn.IFS(C876&lt;18, "Under 18", C876&lt;36, "Btw 18&amp;35", C876&lt;51, "Btw 36&amp;50", C876&lt;66, "Btw 51&amp;65", C876&gt;=66," 66&amp;Above")</f>
        <v>Btw 51&amp;65</v>
      </c>
    </row>
    <row r="877" spans="1:16">
      <c r="A877" t="s">
        <v>1558</v>
      </c>
      <c r="B877" t="s">
        <v>902</v>
      </c>
      <c r="C877">
        <v>53</v>
      </c>
      <c r="D877" t="s">
        <v>12</v>
      </c>
      <c r="E877" s="2">
        <v>45412</v>
      </c>
      <c r="F877" s="2">
        <v>45417</v>
      </c>
      <c r="G877" t="s">
        <v>13</v>
      </c>
      <c r="H877" t="s">
        <v>111</v>
      </c>
      <c r="I877" s="3">
        <v>10693.69</v>
      </c>
      <c r="J877" t="s">
        <v>15</v>
      </c>
      <c r="K877" s="4">
        <v>1</v>
      </c>
      <c r="L877" s="3">
        <f t="shared" si="52"/>
        <v>10693.69</v>
      </c>
      <c r="M877" s="3">
        <f t="shared" si="53"/>
        <v>0</v>
      </c>
      <c r="N877">
        <f t="shared" si="54"/>
        <v>5</v>
      </c>
      <c r="O877" s="3">
        <f t="shared" si="55"/>
        <v>10693.69</v>
      </c>
      <c r="P877" t="str" cm="1">
        <f t="array" ref="P877">_xlfn.IFS(C877&lt;18, "Under 18", C877&lt;36, "Btw 18&amp;35", C877&lt;51, "Btw 36&amp;50", C877&lt;66, "Btw 51&amp;65", C877&gt;=66," 66&amp;Above")</f>
        <v>Btw 51&amp;65</v>
      </c>
    </row>
    <row r="878" spans="1:16">
      <c r="A878" t="s">
        <v>1559</v>
      </c>
      <c r="B878" t="s">
        <v>1560</v>
      </c>
      <c r="C878">
        <v>39</v>
      </c>
      <c r="D878" t="s">
        <v>18</v>
      </c>
      <c r="E878" s="2">
        <v>45633</v>
      </c>
      <c r="F878" s="2">
        <v>45636</v>
      </c>
      <c r="G878" t="s">
        <v>60</v>
      </c>
      <c r="H878" t="s">
        <v>142</v>
      </c>
      <c r="I878" s="3">
        <v>3746.98</v>
      </c>
      <c r="J878" t="s">
        <v>15</v>
      </c>
      <c r="K878" s="4">
        <v>0.8</v>
      </c>
      <c r="L878" s="3">
        <f t="shared" si="52"/>
        <v>2997.5840000000003</v>
      </c>
      <c r="M878" s="3">
        <f t="shared" si="53"/>
        <v>749.39599999999984</v>
      </c>
      <c r="N878">
        <f t="shared" si="54"/>
        <v>3</v>
      </c>
      <c r="O878" s="3">
        <f t="shared" si="55"/>
        <v>3746.98</v>
      </c>
      <c r="P878" t="str" cm="1">
        <f t="array" ref="P878">_xlfn.IFS(C878&lt;18, "Under 18", C878&lt;36, "Btw 18&amp;35", C878&lt;51, "Btw 36&amp;50", C878&lt;66, "Btw 51&amp;65", C878&gt;=66," 66&amp;Above")</f>
        <v>Btw 36&amp;50</v>
      </c>
    </row>
    <row r="879" spans="1:16">
      <c r="A879" t="s">
        <v>1561</v>
      </c>
      <c r="B879" t="s">
        <v>1066</v>
      </c>
      <c r="C879">
        <v>31</v>
      </c>
      <c r="D879" t="s">
        <v>12</v>
      </c>
      <c r="E879" s="2">
        <v>45515</v>
      </c>
      <c r="F879" s="2">
        <v>45525</v>
      </c>
      <c r="G879" t="s">
        <v>70</v>
      </c>
      <c r="H879" t="s">
        <v>237</v>
      </c>
      <c r="I879" s="3">
        <v>24544.65</v>
      </c>
      <c r="J879" t="s">
        <v>15</v>
      </c>
      <c r="K879" s="4">
        <v>0.8</v>
      </c>
      <c r="L879" s="3">
        <f t="shared" si="52"/>
        <v>19635.72</v>
      </c>
      <c r="M879" s="3">
        <f t="shared" si="53"/>
        <v>4908.9299999999994</v>
      </c>
      <c r="N879">
        <f t="shared" si="54"/>
        <v>10</v>
      </c>
      <c r="O879" s="3">
        <f t="shared" si="55"/>
        <v>24544.65</v>
      </c>
      <c r="P879" t="str" cm="1">
        <f t="array" ref="P879">_xlfn.IFS(C879&lt;18, "Under 18", C879&lt;36, "Btw 18&amp;35", C879&lt;51, "Btw 36&amp;50", C879&lt;66, "Btw 51&amp;65", C879&gt;=66," 66&amp;Above")</f>
        <v>Btw 18&amp;35</v>
      </c>
    </row>
    <row r="880" spans="1:16">
      <c r="A880" t="s">
        <v>1562</v>
      </c>
      <c r="B880" t="s">
        <v>1563</v>
      </c>
      <c r="C880">
        <v>35</v>
      </c>
      <c r="D880" t="s">
        <v>12</v>
      </c>
      <c r="E880" s="2">
        <v>45604</v>
      </c>
      <c r="F880" s="2">
        <v>45605</v>
      </c>
      <c r="G880" t="s">
        <v>23</v>
      </c>
      <c r="H880" t="s">
        <v>204</v>
      </c>
      <c r="I880" s="3">
        <v>1355.19</v>
      </c>
      <c r="J880" t="s">
        <v>15</v>
      </c>
      <c r="K880" s="4">
        <v>0.8</v>
      </c>
      <c r="L880" s="3">
        <f t="shared" si="52"/>
        <v>1084.152</v>
      </c>
      <c r="M880" s="3">
        <f t="shared" si="53"/>
        <v>271.03799999999995</v>
      </c>
      <c r="N880">
        <f t="shared" si="54"/>
        <v>1</v>
      </c>
      <c r="O880" s="3">
        <f t="shared" si="55"/>
        <v>1355.19</v>
      </c>
      <c r="P880" t="str" cm="1">
        <f t="array" ref="P880">_xlfn.IFS(C880&lt;18, "Under 18", C880&lt;36, "Btw 18&amp;35", C880&lt;51, "Btw 36&amp;50", C880&lt;66, "Btw 51&amp;65", C880&gt;=66," 66&amp;Above")</f>
        <v>Btw 18&amp;35</v>
      </c>
    </row>
    <row r="881" spans="1:16">
      <c r="A881" t="s">
        <v>1564</v>
      </c>
      <c r="B881" t="s">
        <v>1565</v>
      </c>
      <c r="C881">
        <v>10</v>
      </c>
      <c r="D881" t="s">
        <v>18</v>
      </c>
      <c r="E881" s="2">
        <v>45498</v>
      </c>
      <c r="F881" s="2">
        <v>45499</v>
      </c>
      <c r="G881" t="s">
        <v>49</v>
      </c>
      <c r="H881" t="s">
        <v>123</v>
      </c>
      <c r="I881" s="3">
        <v>628.96</v>
      </c>
      <c r="J881" t="s">
        <v>15</v>
      </c>
      <c r="K881" s="4">
        <v>0.7</v>
      </c>
      <c r="L881" s="3">
        <f t="shared" si="52"/>
        <v>440.27199999999999</v>
      </c>
      <c r="M881" s="3">
        <f t="shared" si="53"/>
        <v>188.68800000000005</v>
      </c>
      <c r="N881">
        <f t="shared" si="54"/>
        <v>1</v>
      </c>
      <c r="O881" s="3">
        <f t="shared" si="55"/>
        <v>628.96</v>
      </c>
      <c r="P881" t="str" cm="1">
        <f t="array" ref="P881">_xlfn.IFS(C881&lt;18, "Under 18", C881&lt;36, "Btw 18&amp;35", C881&lt;51, "Btw 36&amp;50", C881&lt;66, "Btw 51&amp;65", C881&gt;=66," 66&amp;Above")</f>
        <v>Under 18</v>
      </c>
    </row>
    <row r="882" spans="1:16">
      <c r="A882" t="s">
        <v>1566</v>
      </c>
      <c r="B882" t="s">
        <v>1567</v>
      </c>
      <c r="C882">
        <v>47</v>
      </c>
      <c r="D882" t="s">
        <v>18</v>
      </c>
      <c r="E882" s="2">
        <v>45684</v>
      </c>
      <c r="F882" s="2">
        <v>45686</v>
      </c>
      <c r="G882" t="s">
        <v>31</v>
      </c>
      <c r="H882" t="s">
        <v>87</v>
      </c>
      <c r="I882" s="3">
        <v>2366.37</v>
      </c>
      <c r="J882" t="s">
        <v>15</v>
      </c>
      <c r="K882" s="4">
        <v>0.8</v>
      </c>
      <c r="L882" s="3">
        <f t="shared" si="52"/>
        <v>1893.096</v>
      </c>
      <c r="M882" s="3">
        <f t="shared" si="53"/>
        <v>473.27399999999989</v>
      </c>
      <c r="N882">
        <f t="shared" si="54"/>
        <v>2</v>
      </c>
      <c r="O882" s="3">
        <f t="shared" si="55"/>
        <v>2366.37</v>
      </c>
      <c r="P882" t="str" cm="1">
        <f t="array" ref="P882">_xlfn.IFS(C882&lt;18, "Under 18", C882&lt;36, "Btw 18&amp;35", C882&lt;51, "Btw 36&amp;50", C882&lt;66, "Btw 51&amp;65", C882&gt;=66," 66&amp;Above")</f>
        <v>Btw 36&amp;50</v>
      </c>
    </row>
    <row r="883" spans="1:16">
      <c r="A883" t="s">
        <v>1568</v>
      </c>
      <c r="B883" t="s">
        <v>1569</v>
      </c>
      <c r="C883">
        <v>22</v>
      </c>
      <c r="D883" t="s">
        <v>12</v>
      </c>
      <c r="E883" s="2">
        <v>45565</v>
      </c>
      <c r="F883" s="2">
        <v>45566</v>
      </c>
      <c r="G883" t="s">
        <v>23</v>
      </c>
      <c r="H883" t="s">
        <v>333</v>
      </c>
      <c r="I883" s="3">
        <v>2471.9699999999998</v>
      </c>
      <c r="J883" t="s">
        <v>15</v>
      </c>
      <c r="K883" s="4">
        <v>0.5</v>
      </c>
      <c r="L883" s="3">
        <f t="shared" si="52"/>
        <v>1235.9849999999999</v>
      </c>
      <c r="M883" s="3">
        <f t="shared" si="53"/>
        <v>1235.9849999999999</v>
      </c>
      <c r="N883">
        <f t="shared" si="54"/>
        <v>1</v>
      </c>
      <c r="O883" s="3">
        <f t="shared" si="55"/>
        <v>2471.9699999999998</v>
      </c>
      <c r="P883" t="str" cm="1">
        <f t="array" ref="P883">_xlfn.IFS(C883&lt;18, "Under 18", C883&lt;36, "Btw 18&amp;35", C883&lt;51, "Btw 36&amp;50", C883&lt;66, "Btw 51&amp;65", C883&gt;=66," 66&amp;Above")</f>
        <v>Btw 18&amp;35</v>
      </c>
    </row>
    <row r="884" spans="1:16">
      <c r="A884" t="s">
        <v>1570</v>
      </c>
      <c r="B884" t="s">
        <v>1571</v>
      </c>
      <c r="C884">
        <v>51</v>
      </c>
      <c r="D884" t="s">
        <v>18</v>
      </c>
      <c r="E884" s="2">
        <v>45611</v>
      </c>
      <c r="F884" s="2">
        <v>45616</v>
      </c>
      <c r="G884" t="s">
        <v>13</v>
      </c>
      <c r="H884" t="s">
        <v>102</v>
      </c>
      <c r="I884" s="3">
        <v>12189.63</v>
      </c>
      <c r="J884" t="s">
        <v>15</v>
      </c>
      <c r="K884" s="4">
        <v>0.9</v>
      </c>
      <c r="L884" s="3">
        <f t="shared" si="52"/>
        <v>10970.666999999999</v>
      </c>
      <c r="M884" s="3">
        <f t="shared" si="53"/>
        <v>1218.9629999999997</v>
      </c>
      <c r="N884">
        <f t="shared" si="54"/>
        <v>5</v>
      </c>
      <c r="O884" s="3">
        <f t="shared" si="55"/>
        <v>12189.63</v>
      </c>
      <c r="P884" t="str" cm="1">
        <f t="array" ref="P884">_xlfn.IFS(C884&lt;18, "Under 18", C884&lt;36, "Btw 18&amp;35", C884&lt;51, "Btw 36&amp;50", C884&lt;66, "Btw 51&amp;65", C884&gt;=66," 66&amp;Above")</f>
        <v>Btw 51&amp;65</v>
      </c>
    </row>
    <row r="885" spans="1:16">
      <c r="A885" t="s">
        <v>1572</v>
      </c>
      <c r="B885" t="s">
        <v>1573</v>
      </c>
      <c r="C885">
        <v>7</v>
      </c>
      <c r="D885" t="s">
        <v>12</v>
      </c>
      <c r="E885" s="2">
        <v>45660</v>
      </c>
      <c r="F885" s="2">
        <v>45663</v>
      </c>
      <c r="G885" t="s">
        <v>49</v>
      </c>
      <c r="H885" t="s">
        <v>120</v>
      </c>
      <c r="I885" s="3">
        <v>4133.3599999999997</v>
      </c>
      <c r="J885" t="s">
        <v>20</v>
      </c>
      <c r="K885" s="4">
        <v>0.6</v>
      </c>
      <c r="L885" s="3">
        <f t="shared" si="52"/>
        <v>2480.0159999999996</v>
      </c>
      <c r="M885" s="3">
        <f t="shared" si="53"/>
        <v>1653.3440000000001</v>
      </c>
      <c r="N885">
        <f t="shared" si="54"/>
        <v>3</v>
      </c>
      <c r="O885" s="3">
        <f t="shared" si="55"/>
        <v>0</v>
      </c>
      <c r="P885" t="str" cm="1">
        <f t="array" ref="P885">_xlfn.IFS(C885&lt;18, "Under 18", C885&lt;36, "Btw 18&amp;35", C885&lt;51, "Btw 36&amp;50", C885&lt;66, "Btw 51&amp;65", C885&gt;=66," 66&amp;Above")</f>
        <v>Under 18</v>
      </c>
    </row>
    <row r="886" spans="1:16">
      <c r="A886" t="s">
        <v>1574</v>
      </c>
      <c r="B886" t="s">
        <v>1575</v>
      </c>
      <c r="C886">
        <v>29</v>
      </c>
      <c r="D886" t="s">
        <v>18</v>
      </c>
      <c r="E886" s="2">
        <v>45672</v>
      </c>
      <c r="F886" s="2">
        <v>45682</v>
      </c>
      <c r="G886" t="s">
        <v>60</v>
      </c>
      <c r="H886" t="s">
        <v>74</v>
      </c>
      <c r="I886" s="3">
        <v>10560.57</v>
      </c>
      <c r="J886" t="s">
        <v>15</v>
      </c>
      <c r="K886" s="4">
        <v>0.7</v>
      </c>
      <c r="L886" s="3">
        <f t="shared" si="52"/>
        <v>7392.3989999999994</v>
      </c>
      <c r="M886" s="3">
        <f t="shared" si="53"/>
        <v>3168.1710000000003</v>
      </c>
      <c r="N886">
        <f t="shared" si="54"/>
        <v>10</v>
      </c>
      <c r="O886" s="3">
        <f t="shared" si="55"/>
        <v>10560.57</v>
      </c>
      <c r="P886" t="str" cm="1">
        <f t="array" ref="P886">_xlfn.IFS(C886&lt;18, "Under 18", C886&lt;36, "Btw 18&amp;35", C886&lt;51, "Btw 36&amp;50", C886&lt;66, "Btw 51&amp;65", C886&gt;=66," 66&amp;Above")</f>
        <v>Btw 18&amp;35</v>
      </c>
    </row>
    <row r="887" spans="1:16">
      <c r="A887" t="s">
        <v>1576</v>
      </c>
      <c r="B887" t="s">
        <v>1577</v>
      </c>
      <c r="C887">
        <v>55</v>
      </c>
      <c r="D887" t="s">
        <v>18</v>
      </c>
      <c r="E887" s="2">
        <v>45494</v>
      </c>
      <c r="F887" s="2">
        <v>45500</v>
      </c>
      <c r="G887" t="s">
        <v>13</v>
      </c>
      <c r="H887" t="s">
        <v>111</v>
      </c>
      <c r="I887" s="3">
        <v>16685.38</v>
      </c>
      <c r="J887" t="s">
        <v>25</v>
      </c>
      <c r="K887" s="4">
        <v>0.9</v>
      </c>
      <c r="L887" s="3">
        <f t="shared" si="52"/>
        <v>15016.842000000001</v>
      </c>
      <c r="M887" s="3">
        <f t="shared" si="53"/>
        <v>1668.5379999999998</v>
      </c>
      <c r="N887">
        <f t="shared" si="54"/>
        <v>6</v>
      </c>
      <c r="O887" s="3">
        <f t="shared" si="55"/>
        <v>0</v>
      </c>
      <c r="P887" t="str" cm="1">
        <f t="array" ref="P887">_xlfn.IFS(C887&lt;18, "Under 18", C887&lt;36, "Btw 18&amp;35", C887&lt;51, "Btw 36&amp;50", C887&lt;66, "Btw 51&amp;65", C887&gt;=66," 66&amp;Above")</f>
        <v>Btw 51&amp;65</v>
      </c>
    </row>
    <row r="888" spans="1:16">
      <c r="A888" t="s">
        <v>1578</v>
      </c>
      <c r="B888" t="s">
        <v>17</v>
      </c>
      <c r="C888">
        <v>43</v>
      </c>
      <c r="D888" t="s">
        <v>18</v>
      </c>
      <c r="E888" s="2">
        <v>45450</v>
      </c>
      <c r="F888" s="2">
        <v>45455</v>
      </c>
      <c r="G888" t="s">
        <v>60</v>
      </c>
      <c r="H888" t="s">
        <v>97</v>
      </c>
      <c r="I888" s="3">
        <v>12448.18</v>
      </c>
      <c r="J888" t="s">
        <v>15</v>
      </c>
      <c r="K888" s="4">
        <v>0.9</v>
      </c>
      <c r="L888" s="3">
        <f t="shared" si="52"/>
        <v>11203.362000000001</v>
      </c>
      <c r="M888" s="3">
        <f t="shared" si="53"/>
        <v>1244.8179999999998</v>
      </c>
      <c r="N888">
        <f t="shared" si="54"/>
        <v>5</v>
      </c>
      <c r="O888" s="3">
        <f t="shared" si="55"/>
        <v>12448.18</v>
      </c>
      <c r="P888" t="str" cm="1">
        <f t="array" ref="P888">_xlfn.IFS(C888&lt;18, "Under 18", C888&lt;36, "Btw 18&amp;35", C888&lt;51, "Btw 36&amp;50", C888&lt;66, "Btw 51&amp;65", C888&gt;=66," 66&amp;Above")</f>
        <v>Btw 36&amp;50</v>
      </c>
    </row>
    <row r="889" spans="1:16">
      <c r="A889" t="s">
        <v>1579</v>
      </c>
      <c r="B889" t="s">
        <v>382</v>
      </c>
      <c r="C889">
        <v>58</v>
      </c>
      <c r="D889" t="s">
        <v>18</v>
      </c>
      <c r="E889" s="2">
        <v>45541</v>
      </c>
      <c r="F889" s="2">
        <v>45544</v>
      </c>
      <c r="G889" t="s">
        <v>70</v>
      </c>
      <c r="H889" t="s">
        <v>295</v>
      </c>
      <c r="I889" s="3">
        <v>7181.24</v>
      </c>
      <c r="J889" t="s">
        <v>15</v>
      </c>
      <c r="K889" s="4">
        <v>0.8</v>
      </c>
      <c r="L889" s="3">
        <f t="shared" si="52"/>
        <v>5744.9920000000002</v>
      </c>
      <c r="M889" s="3">
        <f t="shared" si="53"/>
        <v>1436.2479999999996</v>
      </c>
      <c r="N889">
        <f t="shared" si="54"/>
        <v>3</v>
      </c>
      <c r="O889" s="3">
        <f t="shared" si="55"/>
        <v>7181.24</v>
      </c>
      <c r="P889" t="str" cm="1">
        <f t="array" ref="P889">_xlfn.IFS(C889&lt;18, "Under 18", C889&lt;36, "Btw 18&amp;35", C889&lt;51, "Btw 36&amp;50", C889&lt;66, "Btw 51&amp;65", C889&gt;=66," 66&amp;Above")</f>
        <v>Btw 51&amp;65</v>
      </c>
    </row>
    <row r="890" spans="1:16">
      <c r="A890" t="s">
        <v>1580</v>
      </c>
      <c r="B890" t="s">
        <v>1525</v>
      </c>
      <c r="C890">
        <v>51</v>
      </c>
      <c r="D890" t="s">
        <v>18</v>
      </c>
      <c r="E890" s="2">
        <v>45977</v>
      </c>
      <c r="F890" s="2">
        <v>45987</v>
      </c>
      <c r="G890" t="s">
        <v>70</v>
      </c>
      <c r="H890" t="s">
        <v>71</v>
      </c>
      <c r="I890" s="3">
        <v>12719.1</v>
      </c>
      <c r="J890" t="s">
        <v>20</v>
      </c>
      <c r="K890" s="4">
        <v>0.8</v>
      </c>
      <c r="L890" s="3">
        <f t="shared" si="52"/>
        <v>10175.280000000001</v>
      </c>
      <c r="M890" s="3">
        <f t="shared" si="53"/>
        <v>2543.8199999999997</v>
      </c>
      <c r="N890">
        <f t="shared" si="54"/>
        <v>10</v>
      </c>
      <c r="O890" s="3">
        <f t="shared" si="55"/>
        <v>0</v>
      </c>
      <c r="P890" t="str" cm="1">
        <f t="array" ref="P890">_xlfn.IFS(C890&lt;18, "Under 18", C890&lt;36, "Btw 18&amp;35", C890&lt;51, "Btw 36&amp;50", C890&lt;66, "Btw 51&amp;65", C890&gt;=66," 66&amp;Above")</f>
        <v>Btw 51&amp;65</v>
      </c>
    </row>
    <row r="891" spans="1:16">
      <c r="A891" t="s">
        <v>1581</v>
      </c>
      <c r="B891" t="s">
        <v>1582</v>
      </c>
      <c r="C891">
        <v>19</v>
      </c>
      <c r="D891" t="s">
        <v>18</v>
      </c>
      <c r="E891" s="2">
        <v>45489</v>
      </c>
      <c r="F891" s="2">
        <v>45494</v>
      </c>
      <c r="G891" t="s">
        <v>31</v>
      </c>
      <c r="H891" t="s">
        <v>53</v>
      </c>
      <c r="I891" s="3">
        <v>3960.59</v>
      </c>
      <c r="J891" t="s">
        <v>25</v>
      </c>
      <c r="K891" s="4">
        <v>0.7</v>
      </c>
      <c r="L891" s="3">
        <f t="shared" si="52"/>
        <v>2772.413</v>
      </c>
      <c r="M891" s="3">
        <f t="shared" si="53"/>
        <v>1188.1770000000001</v>
      </c>
      <c r="N891">
        <f t="shared" si="54"/>
        <v>5</v>
      </c>
      <c r="O891" s="3">
        <f t="shared" si="55"/>
        <v>0</v>
      </c>
      <c r="P891" t="str" cm="1">
        <f t="array" ref="P891">_xlfn.IFS(C891&lt;18, "Under 18", C891&lt;36, "Btw 18&amp;35", C891&lt;51, "Btw 36&amp;50", C891&lt;66, "Btw 51&amp;65", C891&gt;=66," 66&amp;Above")</f>
        <v>Btw 18&amp;35</v>
      </c>
    </row>
    <row r="892" spans="1:16">
      <c r="A892" t="s">
        <v>1583</v>
      </c>
      <c r="B892" t="s">
        <v>1584</v>
      </c>
      <c r="C892">
        <v>73</v>
      </c>
      <c r="D892" t="s">
        <v>12</v>
      </c>
      <c r="E892" s="2">
        <v>45801</v>
      </c>
      <c r="F892" s="2">
        <v>45814</v>
      </c>
      <c r="G892" t="s">
        <v>60</v>
      </c>
      <c r="H892" t="s">
        <v>133</v>
      </c>
      <c r="I892" s="3">
        <v>32658.41</v>
      </c>
      <c r="J892" t="s">
        <v>15</v>
      </c>
      <c r="K892" s="4">
        <v>1</v>
      </c>
      <c r="L892" s="3">
        <f t="shared" si="52"/>
        <v>32658.41</v>
      </c>
      <c r="M892" s="3">
        <f t="shared" si="53"/>
        <v>0</v>
      </c>
      <c r="N892">
        <f t="shared" si="54"/>
        <v>13</v>
      </c>
      <c r="O892" s="3">
        <f t="shared" si="55"/>
        <v>32658.41</v>
      </c>
      <c r="P892" t="str" cm="1">
        <f t="array" ref="P892">_xlfn.IFS(C892&lt;18, "Under 18", C892&lt;36, "Btw 18&amp;35", C892&lt;51, "Btw 36&amp;50", C892&lt;66, "Btw 51&amp;65", C892&gt;=66," 66&amp;Above")</f>
        <v xml:space="preserve"> 66&amp;Above</v>
      </c>
    </row>
    <row r="893" spans="1:16">
      <c r="A893" t="s">
        <v>1585</v>
      </c>
      <c r="B893" t="s">
        <v>1586</v>
      </c>
      <c r="C893">
        <v>53</v>
      </c>
      <c r="D893" t="s">
        <v>12</v>
      </c>
      <c r="E893" s="2">
        <v>45661</v>
      </c>
      <c r="F893" s="2">
        <v>45664</v>
      </c>
      <c r="G893" t="s">
        <v>23</v>
      </c>
      <c r="H893" t="s">
        <v>204</v>
      </c>
      <c r="I893" s="3">
        <v>4283.7</v>
      </c>
      <c r="J893" t="s">
        <v>25</v>
      </c>
      <c r="K893" s="4">
        <v>0.7</v>
      </c>
      <c r="L893" s="3">
        <f t="shared" si="52"/>
        <v>2998.5899999999997</v>
      </c>
      <c r="M893" s="3">
        <f t="shared" si="53"/>
        <v>1285.1100000000001</v>
      </c>
      <c r="N893">
        <f t="shared" si="54"/>
        <v>3</v>
      </c>
      <c r="O893" s="3">
        <f t="shared" si="55"/>
        <v>0</v>
      </c>
      <c r="P893" t="str" cm="1">
        <f t="array" ref="P893">_xlfn.IFS(C893&lt;18, "Under 18", C893&lt;36, "Btw 18&amp;35", C893&lt;51, "Btw 36&amp;50", C893&lt;66, "Btw 51&amp;65", C893&gt;=66," 66&amp;Above")</f>
        <v>Btw 51&amp;65</v>
      </c>
    </row>
    <row r="894" spans="1:16">
      <c r="A894" t="s">
        <v>1587</v>
      </c>
      <c r="B894" t="s">
        <v>684</v>
      </c>
      <c r="C894">
        <v>52</v>
      </c>
      <c r="D894" t="s">
        <v>12</v>
      </c>
      <c r="E894" s="2">
        <v>45481</v>
      </c>
      <c r="F894" s="2">
        <v>45483</v>
      </c>
      <c r="G894" t="s">
        <v>60</v>
      </c>
      <c r="H894" t="s">
        <v>77</v>
      </c>
      <c r="I894" s="3">
        <v>5291.81</v>
      </c>
      <c r="J894" t="s">
        <v>15</v>
      </c>
      <c r="K894" s="4">
        <v>0.5</v>
      </c>
      <c r="L894" s="3">
        <f t="shared" si="52"/>
        <v>2645.9050000000002</v>
      </c>
      <c r="M894" s="3">
        <f t="shared" si="53"/>
        <v>2645.9050000000002</v>
      </c>
      <c r="N894">
        <f t="shared" si="54"/>
        <v>2</v>
      </c>
      <c r="O894" s="3">
        <f t="shared" si="55"/>
        <v>5291.81</v>
      </c>
      <c r="P894" t="str" cm="1">
        <f t="array" ref="P894">_xlfn.IFS(C894&lt;18, "Under 18", C894&lt;36, "Btw 18&amp;35", C894&lt;51, "Btw 36&amp;50", C894&lt;66, "Btw 51&amp;65", C894&gt;=66," 66&amp;Above")</f>
        <v>Btw 51&amp;65</v>
      </c>
    </row>
    <row r="895" spans="1:16">
      <c r="A895" t="s">
        <v>1588</v>
      </c>
      <c r="B895" t="s">
        <v>1442</v>
      </c>
      <c r="C895">
        <v>80</v>
      </c>
      <c r="D895" t="s">
        <v>18</v>
      </c>
      <c r="E895" s="2">
        <v>45623</v>
      </c>
      <c r="F895" s="2">
        <v>45629</v>
      </c>
      <c r="G895" t="s">
        <v>31</v>
      </c>
      <c r="H895" t="s">
        <v>35</v>
      </c>
      <c r="I895" s="3">
        <v>3170.27</v>
      </c>
      <c r="J895" t="s">
        <v>15</v>
      </c>
      <c r="K895" s="4">
        <v>0.9</v>
      </c>
      <c r="L895" s="3">
        <f t="shared" si="52"/>
        <v>2853.2429999999999</v>
      </c>
      <c r="M895" s="3">
        <f t="shared" si="53"/>
        <v>317.02699999999993</v>
      </c>
      <c r="N895">
        <f t="shared" si="54"/>
        <v>6</v>
      </c>
      <c r="O895" s="3">
        <f t="shared" si="55"/>
        <v>3170.27</v>
      </c>
      <c r="P895" t="str" cm="1">
        <f t="array" ref="P895">_xlfn.IFS(C895&lt;18, "Under 18", C895&lt;36, "Btw 18&amp;35", C895&lt;51, "Btw 36&amp;50", C895&lt;66, "Btw 51&amp;65", C895&gt;=66," 66&amp;Above")</f>
        <v xml:space="preserve"> 66&amp;Above</v>
      </c>
    </row>
    <row r="896" spans="1:16">
      <c r="A896" t="s">
        <v>1589</v>
      </c>
      <c r="B896" t="s">
        <v>1590</v>
      </c>
      <c r="C896">
        <v>32</v>
      </c>
      <c r="D896" t="s">
        <v>12</v>
      </c>
      <c r="E896" s="2">
        <v>45518</v>
      </c>
      <c r="F896" s="2">
        <v>45525</v>
      </c>
      <c r="G896" t="s">
        <v>31</v>
      </c>
      <c r="H896" t="s">
        <v>114</v>
      </c>
      <c r="I896" s="3">
        <v>6978.9</v>
      </c>
      <c r="J896" t="s">
        <v>20</v>
      </c>
      <c r="K896" s="4">
        <v>0.9</v>
      </c>
      <c r="L896" s="3">
        <f t="shared" si="52"/>
        <v>6281.01</v>
      </c>
      <c r="M896" s="3">
        <f t="shared" si="53"/>
        <v>697.88999999999976</v>
      </c>
      <c r="N896">
        <f t="shared" si="54"/>
        <v>7</v>
      </c>
      <c r="O896" s="3">
        <f t="shared" si="55"/>
        <v>0</v>
      </c>
      <c r="P896" t="str" cm="1">
        <f t="array" ref="P896">_xlfn.IFS(C896&lt;18, "Under 18", C896&lt;36, "Btw 18&amp;35", C896&lt;51, "Btw 36&amp;50", C896&lt;66, "Btw 51&amp;65", C896&gt;=66," 66&amp;Above")</f>
        <v>Btw 18&amp;35</v>
      </c>
    </row>
    <row r="897" spans="1:16">
      <c r="A897" t="s">
        <v>1591</v>
      </c>
      <c r="B897" t="s">
        <v>1163</v>
      </c>
      <c r="C897">
        <v>63</v>
      </c>
      <c r="D897" t="s">
        <v>18</v>
      </c>
      <c r="E897" s="2">
        <v>45527</v>
      </c>
      <c r="F897" s="2">
        <v>45533</v>
      </c>
      <c r="G897" t="s">
        <v>31</v>
      </c>
      <c r="H897" t="s">
        <v>87</v>
      </c>
      <c r="I897" s="3">
        <v>4868.46</v>
      </c>
      <c r="J897" t="s">
        <v>15</v>
      </c>
      <c r="K897" s="4">
        <v>0.8</v>
      </c>
      <c r="L897" s="3">
        <f t="shared" si="52"/>
        <v>3894.768</v>
      </c>
      <c r="M897" s="3">
        <f t="shared" si="53"/>
        <v>973.69199999999978</v>
      </c>
      <c r="N897">
        <f t="shared" si="54"/>
        <v>6</v>
      </c>
      <c r="O897" s="3">
        <f t="shared" si="55"/>
        <v>4868.46</v>
      </c>
      <c r="P897" t="str" cm="1">
        <f t="array" ref="P897">_xlfn.IFS(C897&lt;18, "Under 18", C897&lt;36, "Btw 18&amp;35", C897&lt;51, "Btw 36&amp;50", C897&lt;66, "Btw 51&amp;65", C897&gt;=66," 66&amp;Above")</f>
        <v>Btw 51&amp;65</v>
      </c>
    </row>
    <row r="898" spans="1:16">
      <c r="A898" t="s">
        <v>1592</v>
      </c>
      <c r="B898" t="s">
        <v>573</v>
      </c>
      <c r="C898">
        <v>58</v>
      </c>
      <c r="D898" t="s">
        <v>12</v>
      </c>
      <c r="E898" s="2">
        <v>45833</v>
      </c>
      <c r="F898" s="2">
        <v>45847</v>
      </c>
      <c r="G898" t="s">
        <v>60</v>
      </c>
      <c r="H898" t="s">
        <v>61</v>
      </c>
      <c r="I898" s="3">
        <v>34197.050000000003</v>
      </c>
      <c r="J898" t="s">
        <v>15</v>
      </c>
      <c r="K898" s="4">
        <v>0.8</v>
      </c>
      <c r="L898" s="3">
        <f t="shared" si="52"/>
        <v>27357.640000000003</v>
      </c>
      <c r="M898" s="3">
        <f t="shared" si="53"/>
        <v>6839.4099999999989</v>
      </c>
      <c r="N898">
        <f t="shared" si="54"/>
        <v>14</v>
      </c>
      <c r="O898" s="3">
        <f t="shared" si="55"/>
        <v>34197.050000000003</v>
      </c>
      <c r="P898" t="str" cm="1">
        <f t="array" ref="P898">_xlfn.IFS(C898&lt;18, "Under 18", C898&lt;36, "Btw 18&amp;35", C898&lt;51, "Btw 36&amp;50", C898&lt;66, "Btw 51&amp;65", C898&gt;=66," 66&amp;Above")</f>
        <v>Btw 51&amp;65</v>
      </c>
    </row>
    <row r="899" spans="1:16">
      <c r="A899" t="s">
        <v>1593</v>
      </c>
      <c r="B899" t="s">
        <v>1594</v>
      </c>
      <c r="C899">
        <v>60</v>
      </c>
      <c r="D899" t="s">
        <v>18</v>
      </c>
      <c r="E899" s="2">
        <v>45331</v>
      </c>
      <c r="F899" s="2">
        <v>45332</v>
      </c>
      <c r="G899" t="s">
        <v>31</v>
      </c>
      <c r="H899" t="s">
        <v>114</v>
      </c>
      <c r="I899" s="3">
        <v>647.75</v>
      </c>
      <c r="J899" t="s">
        <v>15</v>
      </c>
      <c r="K899" s="4">
        <v>0.8</v>
      </c>
      <c r="L899" s="3">
        <f t="shared" ref="L899:L962" si="56">I899*K899</f>
        <v>518.20000000000005</v>
      </c>
      <c r="M899" s="3">
        <f t="shared" ref="M899:M962" si="57">(100%-K899)*I899</f>
        <v>129.54999999999998</v>
      </c>
      <c r="N899">
        <f t="shared" ref="N899:N962" si="58">_xlfn.DAYS(F899,E899)</f>
        <v>1</v>
      </c>
      <c r="O899" s="3">
        <f t="shared" ref="O899:O962" si="59">IF(J899="Paid", I899, 0)</f>
        <v>647.75</v>
      </c>
      <c r="P899" t="str" cm="1">
        <f t="array" ref="P899">_xlfn.IFS(C899&lt;18, "Under 18", C899&lt;36, "Btw 18&amp;35", C899&lt;51, "Btw 36&amp;50", C899&lt;66, "Btw 51&amp;65", C899&gt;=66," 66&amp;Above")</f>
        <v>Btw 51&amp;65</v>
      </c>
    </row>
    <row r="900" spans="1:16">
      <c r="A900" t="s">
        <v>1595</v>
      </c>
      <c r="B900" t="s">
        <v>1596</v>
      </c>
      <c r="C900">
        <v>5</v>
      </c>
      <c r="D900" t="s">
        <v>18</v>
      </c>
      <c r="E900" s="2">
        <v>45461</v>
      </c>
      <c r="F900" s="2">
        <v>45466</v>
      </c>
      <c r="G900" t="s">
        <v>49</v>
      </c>
      <c r="H900" t="s">
        <v>123</v>
      </c>
      <c r="I900" s="3">
        <v>3913.66</v>
      </c>
      <c r="J900" t="s">
        <v>20</v>
      </c>
      <c r="K900" s="4">
        <v>0.9</v>
      </c>
      <c r="L900" s="3">
        <f t="shared" si="56"/>
        <v>3522.2939999999999</v>
      </c>
      <c r="M900" s="3">
        <f t="shared" si="57"/>
        <v>391.36599999999987</v>
      </c>
      <c r="N900">
        <f t="shared" si="58"/>
        <v>5</v>
      </c>
      <c r="O900" s="3">
        <f t="shared" si="59"/>
        <v>0</v>
      </c>
      <c r="P900" t="str" cm="1">
        <f t="array" ref="P900">_xlfn.IFS(C900&lt;18, "Under 18", C900&lt;36, "Btw 18&amp;35", C900&lt;51, "Btw 36&amp;50", C900&lt;66, "Btw 51&amp;65", C900&gt;=66," 66&amp;Above")</f>
        <v>Under 18</v>
      </c>
    </row>
    <row r="901" spans="1:16">
      <c r="A901" t="s">
        <v>1597</v>
      </c>
      <c r="B901" t="s">
        <v>474</v>
      </c>
      <c r="C901">
        <v>8</v>
      </c>
      <c r="D901" t="s">
        <v>12</v>
      </c>
      <c r="E901" s="2">
        <v>45717</v>
      </c>
      <c r="F901" s="2">
        <v>45722</v>
      </c>
      <c r="G901" t="s">
        <v>49</v>
      </c>
      <c r="H901" t="s">
        <v>120</v>
      </c>
      <c r="I901" s="3">
        <v>8364.6200000000008</v>
      </c>
      <c r="J901" t="s">
        <v>15</v>
      </c>
      <c r="K901" s="4">
        <v>1</v>
      </c>
      <c r="L901" s="3">
        <f t="shared" si="56"/>
        <v>8364.6200000000008</v>
      </c>
      <c r="M901" s="3">
        <f t="shared" si="57"/>
        <v>0</v>
      </c>
      <c r="N901">
        <f t="shared" si="58"/>
        <v>5</v>
      </c>
      <c r="O901" s="3">
        <f t="shared" si="59"/>
        <v>8364.6200000000008</v>
      </c>
      <c r="P901" t="str" cm="1">
        <f t="array" ref="P901">_xlfn.IFS(C901&lt;18, "Under 18", C901&lt;36, "Btw 18&amp;35", C901&lt;51, "Btw 36&amp;50", C901&lt;66, "Btw 51&amp;65", C901&gt;=66," 66&amp;Above")</f>
        <v>Under 18</v>
      </c>
    </row>
    <row r="902" spans="1:16">
      <c r="A902" t="s">
        <v>1598</v>
      </c>
      <c r="B902" t="s">
        <v>1599</v>
      </c>
      <c r="C902">
        <v>8</v>
      </c>
      <c r="D902" t="s">
        <v>18</v>
      </c>
      <c r="E902" s="2">
        <v>45991</v>
      </c>
      <c r="F902" s="2">
        <v>45992</v>
      </c>
      <c r="G902" t="s">
        <v>49</v>
      </c>
      <c r="H902" t="s">
        <v>123</v>
      </c>
      <c r="I902" s="3">
        <v>750.94</v>
      </c>
      <c r="J902" t="s">
        <v>20</v>
      </c>
      <c r="K902" s="4">
        <v>0.6</v>
      </c>
      <c r="L902" s="3">
        <f t="shared" si="56"/>
        <v>450.56400000000002</v>
      </c>
      <c r="M902" s="3">
        <f t="shared" si="57"/>
        <v>300.37600000000003</v>
      </c>
      <c r="N902">
        <f t="shared" si="58"/>
        <v>1</v>
      </c>
      <c r="O902" s="3">
        <f t="shared" si="59"/>
        <v>0</v>
      </c>
      <c r="P902" t="str" cm="1">
        <f t="array" ref="P902">_xlfn.IFS(C902&lt;18, "Under 18", C902&lt;36, "Btw 18&amp;35", C902&lt;51, "Btw 36&amp;50", C902&lt;66, "Btw 51&amp;65", C902&gt;=66," 66&amp;Above")</f>
        <v>Under 18</v>
      </c>
    </row>
    <row r="903" spans="1:16">
      <c r="A903" t="s">
        <v>1600</v>
      </c>
      <c r="B903" t="s">
        <v>106</v>
      </c>
      <c r="C903">
        <v>21</v>
      </c>
      <c r="D903" t="s">
        <v>18</v>
      </c>
      <c r="E903" s="2">
        <v>45915</v>
      </c>
      <c r="F903" s="2">
        <v>45916</v>
      </c>
      <c r="G903" t="s">
        <v>23</v>
      </c>
      <c r="H903" t="s">
        <v>204</v>
      </c>
      <c r="I903" s="3">
        <v>1602.23</v>
      </c>
      <c r="J903" t="s">
        <v>15</v>
      </c>
      <c r="K903" s="4">
        <v>0.9</v>
      </c>
      <c r="L903" s="3">
        <f t="shared" si="56"/>
        <v>1442.0070000000001</v>
      </c>
      <c r="M903" s="3">
        <f t="shared" si="57"/>
        <v>160.22299999999996</v>
      </c>
      <c r="N903">
        <f t="shared" si="58"/>
        <v>1</v>
      </c>
      <c r="O903" s="3">
        <f t="shared" si="59"/>
        <v>1602.23</v>
      </c>
      <c r="P903" t="str" cm="1">
        <f t="array" ref="P903">_xlfn.IFS(C903&lt;18, "Under 18", C903&lt;36, "Btw 18&amp;35", C903&lt;51, "Btw 36&amp;50", C903&lt;66, "Btw 51&amp;65", C903&gt;=66," 66&amp;Above")</f>
        <v>Btw 18&amp;35</v>
      </c>
    </row>
    <row r="904" spans="1:16">
      <c r="A904" t="s">
        <v>1601</v>
      </c>
      <c r="B904" t="s">
        <v>1602</v>
      </c>
      <c r="C904">
        <v>26</v>
      </c>
      <c r="D904" t="s">
        <v>12</v>
      </c>
      <c r="E904" s="2">
        <v>46019</v>
      </c>
      <c r="F904" s="2">
        <v>46022</v>
      </c>
      <c r="G904" t="s">
        <v>60</v>
      </c>
      <c r="H904" t="s">
        <v>77</v>
      </c>
      <c r="I904" s="3">
        <v>3905.3</v>
      </c>
      <c r="J904" t="s">
        <v>20</v>
      </c>
      <c r="K904" s="4">
        <v>0.8</v>
      </c>
      <c r="L904" s="3">
        <f t="shared" si="56"/>
        <v>3124.2400000000002</v>
      </c>
      <c r="M904" s="3">
        <f t="shared" si="57"/>
        <v>781.05999999999983</v>
      </c>
      <c r="N904">
        <f t="shared" si="58"/>
        <v>3</v>
      </c>
      <c r="O904" s="3">
        <f t="shared" si="59"/>
        <v>0</v>
      </c>
      <c r="P904" t="str" cm="1">
        <f t="array" ref="P904">_xlfn.IFS(C904&lt;18, "Under 18", C904&lt;36, "Btw 18&amp;35", C904&lt;51, "Btw 36&amp;50", C904&lt;66, "Btw 51&amp;65", C904&gt;=66," 66&amp;Above")</f>
        <v>Btw 18&amp;35</v>
      </c>
    </row>
    <row r="905" spans="1:16">
      <c r="A905" t="s">
        <v>1603</v>
      </c>
      <c r="B905" t="s">
        <v>624</v>
      </c>
      <c r="C905">
        <v>56</v>
      </c>
      <c r="D905" t="s">
        <v>12</v>
      </c>
      <c r="E905" s="2">
        <v>45716</v>
      </c>
      <c r="F905" s="2">
        <v>45720</v>
      </c>
      <c r="G905" t="s">
        <v>13</v>
      </c>
      <c r="H905" t="s">
        <v>38</v>
      </c>
      <c r="I905" s="3">
        <v>10882.46</v>
      </c>
      <c r="J905" t="s">
        <v>25</v>
      </c>
      <c r="K905" s="4">
        <v>0</v>
      </c>
      <c r="L905" s="3">
        <f t="shared" si="56"/>
        <v>0</v>
      </c>
      <c r="M905" s="3">
        <f t="shared" si="57"/>
        <v>10882.46</v>
      </c>
      <c r="N905">
        <f t="shared" si="58"/>
        <v>4</v>
      </c>
      <c r="O905" s="3">
        <f t="shared" si="59"/>
        <v>0</v>
      </c>
      <c r="P905" t="str" cm="1">
        <f t="array" ref="P905">_xlfn.IFS(C905&lt;18, "Under 18", C905&lt;36, "Btw 18&amp;35", C905&lt;51, "Btw 36&amp;50", C905&lt;66, "Btw 51&amp;65", C905&gt;=66," 66&amp;Above")</f>
        <v>Btw 51&amp;65</v>
      </c>
    </row>
    <row r="906" spans="1:16">
      <c r="A906" t="s">
        <v>1604</v>
      </c>
      <c r="B906" t="s">
        <v>1605</v>
      </c>
      <c r="C906">
        <v>40</v>
      </c>
      <c r="D906" t="s">
        <v>18</v>
      </c>
      <c r="E906" s="2">
        <v>45992</v>
      </c>
      <c r="F906" s="2">
        <v>45996</v>
      </c>
      <c r="G906" t="s">
        <v>31</v>
      </c>
      <c r="H906" t="s">
        <v>53</v>
      </c>
      <c r="I906" s="3">
        <v>3645.87</v>
      </c>
      <c r="J906" t="s">
        <v>20</v>
      </c>
      <c r="K906" s="4">
        <v>0.7</v>
      </c>
      <c r="L906" s="3">
        <f t="shared" si="56"/>
        <v>2552.1089999999999</v>
      </c>
      <c r="M906" s="3">
        <f t="shared" si="57"/>
        <v>1093.7610000000002</v>
      </c>
      <c r="N906">
        <f t="shared" si="58"/>
        <v>4</v>
      </c>
      <c r="O906" s="3">
        <f t="shared" si="59"/>
        <v>0</v>
      </c>
      <c r="P906" t="str" cm="1">
        <f t="array" ref="P906">_xlfn.IFS(C906&lt;18, "Under 18", C906&lt;36, "Btw 18&amp;35", C906&lt;51, "Btw 36&amp;50", C906&lt;66, "Btw 51&amp;65", C906&gt;=66," 66&amp;Above")</f>
        <v>Btw 36&amp;50</v>
      </c>
    </row>
    <row r="907" spans="1:16">
      <c r="A907" t="s">
        <v>1606</v>
      </c>
      <c r="B907" t="s">
        <v>1607</v>
      </c>
      <c r="C907">
        <v>40</v>
      </c>
      <c r="D907" t="s">
        <v>18</v>
      </c>
      <c r="E907" s="2">
        <v>45754</v>
      </c>
      <c r="F907" s="2">
        <v>45760</v>
      </c>
      <c r="G907" t="s">
        <v>31</v>
      </c>
      <c r="H907" t="s">
        <v>234</v>
      </c>
      <c r="I907" s="3">
        <v>5871.8</v>
      </c>
      <c r="J907" t="s">
        <v>25</v>
      </c>
      <c r="K907" s="4">
        <v>0.9</v>
      </c>
      <c r="L907" s="3">
        <f t="shared" si="56"/>
        <v>5284.62</v>
      </c>
      <c r="M907" s="3">
        <f t="shared" si="57"/>
        <v>587.17999999999984</v>
      </c>
      <c r="N907">
        <f t="shared" si="58"/>
        <v>6</v>
      </c>
      <c r="O907" s="3">
        <f t="shared" si="59"/>
        <v>0</v>
      </c>
      <c r="P907" t="str" cm="1">
        <f t="array" ref="P907">_xlfn.IFS(C907&lt;18, "Under 18", C907&lt;36, "Btw 18&amp;35", C907&lt;51, "Btw 36&amp;50", C907&lt;66, "Btw 51&amp;65", C907&gt;=66," 66&amp;Above")</f>
        <v>Btw 36&amp;50</v>
      </c>
    </row>
    <row r="908" spans="1:16">
      <c r="A908" t="s">
        <v>1608</v>
      </c>
      <c r="B908" t="s">
        <v>750</v>
      </c>
      <c r="C908">
        <v>34</v>
      </c>
      <c r="D908" t="s">
        <v>18</v>
      </c>
      <c r="E908" s="2">
        <v>45326</v>
      </c>
      <c r="F908" s="2">
        <v>45329</v>
      </c>
      <c r="G908" t="s">
        <v>31</v>
      </c>
      <c r="H908" t="s">
        <v>114</v>
      </c>
      <c r="I908" s="3">
        <v>2527.5100000000002</v>
      </c>
      <c r="J908" t="s">
        <v>20</v>
      </c>
      <c r="K908" s="4">
        <v>0.6</v>
      </c>
      <c r="L908" s="3">
        <f t="shared" si="56"/>
        <v>1516.5060000000001</v>
      </c>
      <c r="M908" s="3">
        <f t="shared" si="57"/>
        <v>1011.0040000000001</v>
      </c>
      <c r="N908">
        <f t="shared" si="58"/>
        <v>3</v>
      </c>
      <c r="O908" s="3">
        <f t="shared" si="59"/>
        <v>0</v>
      </c>
      <c r="P908" t="str" cm="1">
        <f t="array" ref="P908">_xlfn.IFS(C908&lt;18, "Under 18", C908&lt;36, "Btw 18&amp;35", C908&lt;51, "Btw 36&amp;50", C908&lt;66, "Btw 51&amp;65", C908&gt;=66," 66&amp;Above")</f>
        <v>Btw 18&amp;35</v>
      </c>
    </row>
    <row r="909" spans="1:16">
      <c r="A909" t="s">
        <v>1609</v>
      </c>
      <c r="B909" t="s">
        <v>229</v>
      </c>
      <c r="C909">
        <v>40</v>
      </c>
      <c r="D909" t="s">
        <v>18</v>
      </c>
      <c r="E909" s="2">
        <v>45518</v>
      </c>
      <c r="F909" s="2">
        <v>45524</v>
      </c>
      <c r="G909" t="s">
        <v>13</v>
      </c>
      <c r="H909" t="s">
        <v>14</v>
      </c>
      <c r="I909" s="3">
        <v>11311.32</v>
      </c>
      <c r="J909" t="s">
        <v>20</v>
      </c>
      <c r="K909" s="4">
        <v>1</v>
      </c>
      <c r="L909" s="3">
        <f t="shared" si="56"/>
        <v>11311.32</v>
      </c>
      <c r="M909" s="3">
        <f t="shared" si="57"/>
        <v>0</v>
      </c>
      <c r="N909">
        <f t="shared" si="58"/>
        <v>6</v>
      </c>
      <c r="O909" s="3">
        <f t="shared" si="59"/>
        <v>0</v>
      </c>
      <c r="P909" t="str" cm="1">
        <f t="array" ref="P909">_xlfn.IFS(C909&lt;18, "Under 18", C909&lt;36, "Btw 18&amp;35", C909&lt;51, "Btw 36&amp;50", C909&lt;66, "Btw 51&amp;65", C909&gt;=66," 66&amp;Above")</f>
        <v>Btw 36&amp;50</v>
      </c>
    </row>
    <row r="910" spans="1:16">
      <c r="A910" t="s">
        <v>1610</v>
      </c>
      <c r="B910" t="s">
        <v>1611</v>
      </c>
      <c r="C910">
        <v>35</v>
      </c>
      <c r="D910" t="s">
        <v>12</v>
      </c>
      <c r="E910" s="2">
        <v>45447</v>
      </c>
      <c r="F910" s="2">
        <v>45453</v>
      </c>
      <c r="G910" t="s">
        <v>60</v>
      </c>
      <c r="H910" t="s">
        <v>133</v>
      </c>
      <c r="I910" s="3">
        <v>14294.04</v>
      </c>
      <c r="J910" t="s">
        <v>15</v>
      </c>
      <c r="K910" s="4">
        <v>0.8</v>
      </c>
      <c r="L910" s="3">
        <f t="shared" si="56"/>
        <v>11435.232000000002</v>
      </c>
      <c r="M910" s="3">
        <f t="shared" si="57"/>
        <v>2858.8079999999995</v>
      </c>
      <c r="N910">
        <f t="shared" si="58"/>
        <v>6</v>
      </c>
      <c r="O910" s="3">
        <f t="shared" si="59"/>
        <v>14294.04</v>
      </c>
      <c r="P910" t="str" cm="1">
        <f t="array" ref="P910">_xlfn.IFS(C910&lt;18, "Under 18", C910&lt;36, "Btw 18&amp;35", C910&lt;51, "Btw 36&amp;50", C910&lt;66, "Btw 51&amp;65", C910&gt;=66," 66&amp;Above")</f>
        <v>Btw 18&amp;35</v>
      </c>
    </row>
    <row r="911" spans="1:16">
      <c r="A911" t="s">
        <v>1612</v>
      </c>
      <c r="B911" t="s">
        <v>1613</v>
      </c>
      <c r="C911">
        <v>15</v>
      </c>
      <c r="D911" t="s">
        <v>18</v>
      </c>
      <c r="E911" s="2">
        <v>45831</v>
      </c>
      <c r="F911" s="2">
        <v>45833</v>
      </c>
      <c r="G911" t="s">
        <v>49</v>
      </c>
      <c r="H911" t="s">
        <v>120</v>
      </c>
      <c r="I911" s="3">
        <v>3325.48</v>
      </c>
      <c r="J911" t="s">
        <v>15</v>
      </c>
      <c r="K911" s="4">
        <v>0.6</v>
      </c>
      <c r="L911" s="3">
        <f t="shared" si="56"/>
        <v>1995.288</v>
      </c>
      <c r="M911" s="3">
        <f t="shared" si="57"/>
        <v>1330.192</v>
      </c>
      <c r="N911">
        <f t="shared" si="58"/>
        <v>2</v>
      </c>
      <c r="O911" s="3">
        <f t="shared" si="59"/>
        <v>3325.48</v>
      </c>
      <c r="P911" t="str" cm="1">
        <f t="array" ref="P911">_xlfn.IFS(C911&lt;18, "Under 18", C911&lt;36, "Btw 18&amp;35", C911&lt;51, "Btw 36&amp;50", C911&lt;66, "Btw 51&amp;65", C911&gt;=66," 66&amp;Above")</f>
        <v>Under 18</v>
      </c>
    </row>
    <row r="912" spans="1:16">
      <c r="A912" t="s">
        <v>1614</v>
      </c>
      <c r="B912" t="s">
        <v>1611</v>
      </c>
      <c r="C912">
        <v>84</v>
      </c>
      <c r="D912" t="s">
        <v>12</v>
      </c>
      <c r="E912" s="2">
        <v>46011</v>
      </c>
      <c r="F912" s="2">
        <v>46012</v>
      </c>
      <c r="G912" t="s">
        <v>31</v>
      </c>
      <c r="H912" t="s">
        <v>44</v>
      </c>
      <c r="I912" s="3">
        <v>583.35</v>
      </c>
      <c r="J912" t="s">
        <v>25</v>
      </c>
      <c r="K912" s="4">
        <v>0.5</v>
      </c>
      <c r="L912" s="3">
        <f t="shared" si="56"/>
        <v>291.67500000000001</v>
      </c>
      <c r="M912" s="3">
        <f t="shared" si="57"/>
        <v>291.67500000000001</v>
      </c>
      <c r="N912">
        <f t="shared" si="58"/>
        <v>1</v>
      </c>
      <c r="O912" s="3">
        <f t="shared" si="59"/>
        <v>0</v>
      </c>
      <c r="P912" t="str" cm="1">
        <f t="array" ref="P912">_xlfn.IFS(C912&lt;18, "Under 18", C912&lt;36, "Btw 18&amp;35", C912&lt;51, "Btw 36&amp;50", C912&lt;66, "Btw 51&amp;65", C912&gt;=66," 66&amp;Above")</f>
        <v xml:space="preserve"> 66&amp;Above</v>
      </c>
    </row>
    <row r="913" spans="1:16">
      <c r="A913" t="s">
        <v>1615</v>
      </c>
      <c r="B913" t="s">
        <v>950</v>
      </c>
      <c r="C913">
        <v>54</v>
      </c>
      <c r="D913" t="s">
        <v>12</v>
      </c>
      <c r="E913" s="2">
        <v>45322</v>
      </c>
      <c r="F913" s="2">
        <v>45328</v>
      </c>
      <c r="G913" t="s">
        <v>31</v>
      </c>
      <c r="H913" t="s">
        <v>234</v>
      </c>
      <c r="I913" s="3">
        <v>6644.98</v>
      </c>
      <c r="J913" t="s">
        <v>15</v>
      </c>
      <c r="K913" s="4">
        <v>0.9</v>
      </c>
      <c r="L913" s="3">
        <f t="shared" si="56"/>
        <v>5980.482</v>
      </c>
      <c r="M913" s="3">
        <f t="shared" si="57"/>
        <v>664.49799999999982</v>
      </c>
      <c r="N913">
        <f t="shared" si="58"/>
        <v>6</v>
      </c>
      <c r="O913" s="3">
        <f t="shared" si="59"/>
        <v>6644.98</v>
      </c>
      <c r="P913" t="str" cm="1">
        <f t="array" ref="P913">_xlfn.IFS(C913&lt;18, "Under 18", C913&lt;36, "Btw 18&amp;35", C913&lt;51, "Btw 36&amp;50", C913&lt;66, "Btw 51&amp;65", C913&gt;=66," 66&amp;Above")</f>
        <v>Btw 51&amp;65</v>
      </c>
    </row>
    <row r="914" spans="1:16">
      <c r="A914" t="s">
        <v>1616</v>
      </c>
      <c r="B914" t="s">
        <v>65</v>
      </c>
      <c r="C914">
        <v>75</v>
      </c>
      <c r="D914" t="s">
        <v>12</v>
      </c>
      <c r="E914" s="2">
        <v>45840</v>
      </c>
      <c r="F914" s="2">
        <v>45844</v>
      </c>
      <c r="G914" t="s">
        <v>60</v>
      </c>
      <c r="H914" t="s">
        <v>61</v>
      </c>
      <c r="I914" s="3">
        <v>6709.11</v>
      </c>
      <c r="J914" t="s">
        <v>25</v>
      </c>
      <c r="K914" s="4">
        <v>0.8</v>
      </c>
      <c r="L914" s="3">
        <f t="shared" si="56"/>
        <v>5367.2880000000005</v>
      </c>
      <c r="M914" s="3">
        <f t="shared" si="57"/>
        <v>1341.8219999999997</v>
      </c>
      <c r="N914">
        <f t="shared" si="58"/>
        <v>4</v>
      </c>
      <c r="O914" s="3">
        <f t="shared" si="59"/>
        <v>0</v>
      </c>
      <c r="P914" t="str" cm="1">
        <f t="array" ref="P914">_xlfn.IFS(C914&lt;18, "Under 18", C914&lt;36, "Btw 18&amp;35", C914&lt;51, "Btw 36&amp;50", C914&lt;66, "Btw 51&amp;65", C914&gt;=66," 66&amp;Above")</f>
        <v xml:space="preserve"> 66&amp;Above</v>
      </c>
    </row>
    <row r="915" spans="1:16">
      <c r="A915" t="s">
        <v>1617</v>
      </c>
      <c r="B915" t="s">
        <v>1288</v>
      </c>
      <c r="C915">
        <v>32</v>
      </c>
      <c r="D915" t="s">
        <v>12</v>
      </c>
      <c r="E915" s="2">
        <v>45385</v>
      </c>
      <c r="F915" s="2">
        <v>45389</v>
      </c>
      <c r="G915" t="s">
        <v>70</v>
      </c>
      <c r="H915" t="s">
        <v>157</v>
      </c>
      <c r="I915" s="3">
        <v>7216.27</v>
      </c>
      <c r="J915" t="s">
        <v>20</v>
      </c>
      <c r="K915" s="4">
        <v>0.8</v>
      </c>
      <c r="L915" s="3">
        <f t="shared" si="56"/>
        <v>5773.0160000000005</v>
      </c>
      <c r="M915" s="3">
        <f t="shared" si="57"/>
        <v>1443.2539999999997</v>
      </c>
      <c r="N915">
        <f t="shared" si="58"/>
        <v>4</v>
      </c>
      <c r="O915" s="3">
        <f t="shared" si="59"/>
        <v>0</v>
      </c>
      <c r="P915" t="str" cm="1">
        <f t="array" ref="P915">_xlfn.IFS(C915&lt;18, "Under 18", C915&lt;36, "Btw 18&amp;35", C915&lt;51, "Btw 36&amp;50", C915&lt;66, "Btw 51&amp;65", C915&gt;=66," 66&amp;Above")</f>
        <v>Btw 18&amp;35</v>
      </c>
    </row>
    <row r="916" spans="1:16">
      <c r="A916" t="s">
        <v>1618</v>
      </c>
      <c r="B916" t="s">
        <v>1619</v>
      </c>
      <c r="C916">
        <v>45</v>
      </c>
      <c r="D916" t="s">
        <v>12</v>
      </c>
      <c r="E916" s="2">
        <v>45737</v>
      </c>
      <c r="F916" s="2">
        <v>45746</v>
      </c>
      <c r="G916" t="s">
        <v>70</v>
      </c>
      <c r="H916" t="s">
        <v>237</v>
      </c>
      <c r="I916" s="3">
        <v>13906.96</v>
      </c>
      <c r="J916" t="s">
        <v>15</v>
      </c>
      <c r="K916" s="4">
        <v>0.8</v>
      </c>
      <c r="L916" s="3">
        <f t="shared" si="56"/>
        <v>11125.567999999999</v>
      </c>
      <c r="M916" s="3">
        <f t="shared" si="57"/>
        <v>2781.3919999999994</v>
      </c>
      <c r="N916">
        <f t="shared" si="58"/>
        <v>9</v>
      </c>
      <c r="O916" s="3">
        <f t="shared" si="59"/>
        <v>13906.96</v>
      </c>
      <c r="P916" t="str" cm="1">
        <f t="array" ref="P916">_xlfn.IFS(C916&lt;18, "Under 18", C916&lt;36, "Btw 18&amp;35", C916&lt;51, "Btw 36&amp;50", C916&lt;66, "Btw 51&amp;65", C916&gt;=66," 66&amp;Above")</f>
        <v>Btw 36&amp;50</v>
      </c>
    </row>
    <row r="917" spans="1:16">
      <c r="A917" t="s">
        <v>1620</v>
      </c>
      <c r="B917" t="s">
        <v>1621</v>
      </c>
      <c r="C917">
        <v>68</v>
      </c>
      <c r="D917" t="s">
        <v>12</v>
      </c>
      <c r="E917" s="2">
        <v>45878</v>
      </c>
      <c r="F917" s="2">
        <v>45888</v>
      </c>
      <c r="G917" t="s">
        <v>60</v>
      </c>
      <c r="H917" t="s">
        <v>97</v>
      </c>
      <c r="I917" s="3">
        <v>19370.95</v>
      </c>
      <c r="J917" t="s">
        <v>20</v>
      </c>
      <c r="K917" s="4">
        <v>0.7</v>
      </c>
      <c r="L917" s="3">
        <f t="shared" si="56"/>
        <v>13559.664999999999</v>
      </c>
      <c r="M917" s="3">
        <f t="shared" si="57"/>
        <v>5811.2850000000008</v>
      </c>
      <c r="N917">
        <f t="shared" si="58"/>
        <v>10</v>
      </c>
      <c r="O917" s="3">
        <f t="shared" si="59"/>
        <v>0</v>
      </c>
      <c r="P917" t="str" cm="1">
        <f t="array" ref="P917">_xlfn.IFS(C917&lt;18, "Under 18", C917&lt;36, "Btw 18&amp;35", C917&lt;51, "Btw 36&amp;50", C917&lt;66, "Btw 51&amp;65", C917&gt;=66," 66&amp;Above")</f>
        <v xml:space="preserve"> 66&amp;Above</v>
      </c>
    </row>
    <row r="918" spans="1:16">
      <c r="A918" t="s">
        <v>1622</v>
      </c>
      <c r="B918" t="s">
        <v>1623</v>
      </c>
      <c r="C918">
        <v>42</v>
      </c>
      <c r="D918" t="s">
        <v>18</v>
      </c>
      <c r="E918" s="2">
        <v>45452</v>
      </c>
      <c r="F918" s="2">
        <v>45459</v>
      </c>
      <c r="G918" t="s">
        <v>31</v>
      </c>
      <c r="H918" t="s">
        <v>53</v>
      </c>
      <c r="I918" s="3">
        <v>4618.17</v>
      </c>
      <c r="J918" t="s">
        <v>25</v>
      </c>
      <c r="K918" s="4">
        <v>0.5</v>
      </c>
      <c r="L918" s="3">
        <f t="shared" si="56"/>
        <v>2309.085</v>
      </c>
      <c r="M918" s="3">
        <f t="shared" si="57"/>
        <v>2309.085</v>
      </c>
      <c r="N918">
        <f t="shared" si="58"/>
        <v>7</v>
      </c>
      <c r="O918" s="3">
        <f t="shared" si="59"/>
        <v>0</v>
      </c>
      <c r="P918" t="str" cm="1">
        <f t="array" ref="P918">_xlfn.IFS(C918&lt;18, "Under 18", C918&lt;36, "Btw 18&amp;35", C918&lt;51, "Btw 36&amp;50", C918&lt;66, "Btw 51&amp;65", C918&gt;=66," 66&amp;Above")</f>
        <v>Btw 36&amp;50</v>
      </c>
    </row>
    <row r="919" spans="1:16">
      <c r="A919" t="s">
        <v>1624</v>
      </c>
      <c r="B919" t="s">
        <v>1128</v>
      </c>
      <c r="C919">
        <v>35</v>
      </c>
      <c r="D919" t="s">
        <v>12</v>
      </c>
      <c r="E919" s="2">
        <v>45661</v>
      </c>
      <c r="F919" s="2">
        <v>45664</v>
      </c>
      <c r="G919" t="s">
        <v>31</v>
      </c>
      <c r="H919" t="s">
        <v>53</v>
      </c>
      <c r="I919" s="3">
        <v>4249.75</v>
      </c>
      <c r="J919" t="s">
        <v>25</v>
      </c>
      <c r="K919" s="4">
        <v>0.7</v>
      </c>
      <c r="L919" s="3">
        <f t="shared" si="56"/>
        <v>2974.8249999999998</v>
      </c>
      <c r="M919" s="3">
        <f t="shared" si="57"/>
        <v>1274.9250000000002</v>
      </c>
      <c r="N919">
        <f t="shared" si="58"/>
        <v>3</v>
      </c>
      <c r="O919" s="3">
        <f t="shared" si="59"/>
        <v>0</v>
      </c>
      <c r="P919" t="str" cm="1">
        <f t="array" ref="P919">_xlfn.IFS(C919&lt;18, "Under 18", C919&lt;36, "Btw 18&amp;35", C919&lt;51, "Btw 36&amp;50", C919&lt;66, "Btw 51&amp;65", C919&gt;=66," 66&amp;Above")</f>
        <v>Btw 18&amp;35</v>
      </c>
    </row>
    <row r="920" spans="1:16">
      <c r="A920" t="s">
        <v>1625</v>
      </c>
      <c r="B920" t="s">
        <v>592</v>
      </c>
      <c r="C920">
        <v>60</v>
      </c>
      <c r="D920" t="s">
        <v>12</v>
      </c>
      <c r="E920" s="2">
        <v>45293</v>
      </c>
      <c r="F920" s="2">
        <v>45297</v>
      </c>
      <c r="G920" t="s">
        <v>13</v>
      </c>
      <c r="H920" t="s">
        <v>14</v>
      </c>
      <c r="I920" s="3">
        <v>6532.53</v>
      </c>
      <c r="J920" t="s">
        <v>25</v>
      </c>
      <c r="K920" s="4">
        <v>0.8</v>
      </c>
      <c r="L920" s="3">
        <f t="shared" si="56"/>
        <v>5226.0240000000003</v>
      </c>
      <c r="M920" s="3">
        <f t="shared" si="57"/>
        <v>1306.5059999999996</v>
      </c>
      <c r="N920">
        <f t="shared" si="58"/>
        <v>4</v>
      </c>
      <c r="O920" s="3">
        <f t="shared" si="59"/>
        <v>0</v>
      </c>
      <c r="P920" t="str" cm="1">
        <f t="array" ref="P920">_xlfn.IFS(C920&lt;18, "Under 18", C920&lt;36, "Btw 18&amp;35", C920&lt;51, "Btw 36&amp;50", C920&lt;66, "Btw 51&amp;65", C920&gt;=66," 66&amp;Above")</f>
        <v>Btw 51&amp;65</v>
      </c>
    </row>
    <row r="921" spans="1:16">
      <c r="A921" t="s">
        <v>1626</v>
      </c>
      <c r="B921" t="s">
        <v>814</v>
      </c>
      <c r="C921">
        <v>60</v>
      </c>
      <c r="D921" t="s">
        <v>18</v>
      </c>
      <c r="E921" s="2">
        <v>45628</v>
      </c>
      <c r="F921" s="2">
        <v>45633</v>
      </c>
      <c r="G921" t="s">
        <v>70</v>
      </c>
      <c r="H921" t="s">
        <v>295</v>
      </c>
      <c r="I921" s="3">
        <v>5729.57</v>
      </c>
      <c r="J921" t="s">
        <v>15</v>
      </c>
      <c r="K921" s="4">
        <v>0.6</v>
      </c>
      <c r="L921" s="3">
        <f t="shared" si="56"/>
        <v>3437.7419999999997</v>
      </c>
      <c r="M921" s="3">
        <f t="shared" si="57"/>
        <v>2291.828</v>
      </c>
      <c r="N921">
        <f t="shared" si="58"/>
        <v>5</v>
      </c>
      <c r="O921" s="3">
        <f t="shared" si="59"/>
        <v>5729.57</v>
      </c>
      <c r="P921" t="str" cm="1">
        <f t="array" ref="P921">_xlfn.IFS(C921&lt;18, "Under 18", C921&lt;36, "Btw 18&amp;35", C921&lt;51, "Btw 36&amp;50", C921&lt;66, "Btw 51&amp;65", C921&gt;=66," 66&amp;Above")</f>
        <v>Btw 51&amp;65</v>
      </c>
    </row>
    <row r="922" spans="1:16">
      <c r="A922" t="s">
        <v>1627</v>
      </c>
      <c r="B922" t="s">
        <v>63</v>
      </c>
      <c r="C922">
        <v>21</v>
      </c>
      <c r="D922" t="s">
        <v>18</v>
      </c>
      <c r="E922" s="2">
        <v>45813</v>
      </c>
      <c r="F922" s="2">
        <v>45815</v>
      </c>
      <c r="G922" t="s">
        <v>31</v>
      </c>
      <c r="H922" t="s">
        <v>87</v>
      </c>
      <c r="I922" s="3">
        <v>2997.87</v>
      </c>
      <c r="J922" t="s">
        <v>15</v>
      </c>
      <c r="K922" s="4">
        <v>0.7</v>
      </c>
      <c r="L922" s="3">
        <f t="shared" si="56"/>
        <v>2098.509</v>
      </c>
      <c r="M922" s="3">
        <f t="shared" si="57"/>
        <v>899.3610000000001</v>
      </c>
      <c r="N922">
        <f t="shared" si="58"/>
        <v>2</v>
      </c>
      <c r="O922" s="3">
        <f t="shared" si="59"/>
        <v>2997.87</v>
      </c>
      <c r="P922" t="str" cm="1">
        <f t="array" ref="P922">_xlfn.IFS(C922&lt;18, "Under 18", C922&lt;36, "Btw 18&amp;35", C922&lt;51, "Btw 36&amp;50", C922&lt;66, "Btw 51&amp;65", C922&gt;=66," 66&amp;Above")</f>
        <v>Btw 18&amp;35</v>
      </c>
    </row>
    <row r="923" spans="1:16">
      <c r="A923" t="s">
        <v>1628</v>
      </c>
      <c r="B923" t="s">
        <v>719</v>
      </c>
      <c r="C923">
        <v>54</v>
      </c>
      <c r="D923" t="s">
        <v>12</v>
      </c>
      <c r="E923" s="2">
        <v>45594</v>
      </c>
      <c r="F923" s="2">
        <v>45600</v>
      </c>
      <c r="G923" t="s">
        <v>31</v>
      </c>
      <c r="H923" t="s">
        <v>53</v>
      </c>
      <c r="I923" s="3">
        <v>7526.27</v>
      </c>
      <c r="J923" t="s">
        <v>15</v>
      </c>
      <c r="K923" s="4">
        <v>0.8</v>
      </c>
      <c r="L923" s="3">
        <f t="shared" si="56"/>
        <v>6021.0160000000005</v>
      </c>
      <c r="M923" s="3">
        <f t="shared" si="57"/>
        <v>1505.2539999999997</v>
      </c>
      <c r="N923">
        <f t="shared" si="58"/>
        <v>6</v>
      </c>
      <c r="O923" s="3">
        <f t="shared" si="59"/>
        <v>7526.27</v>
      </c>
      <c r="P923" t="str" cm="1">
        <f t="array" ref="P923">_xlfn.IFS(C923&lt;18, "Under 18", C923&lt;36, "Btw 18&amp;35", C923&lt;51, "Btw 36&amp;50", C923&lt;66, "Btw 51&amp;65", C923&gt;=66," 66&amp;Above")</f>
        <v>Btw 51&amp;65</v>
      </c>
    </row>
    <row r="924" spans="1:16">
      <c r="A924" t="s">
        <v>1629</v>
      </c>
      <c r="B924" t="s">
        <v>1630</v>
      </c>
      <c r="C924">
        <v>29</v>
      </c>
      <c r="D924" t="s">
        <v>18</v>
      </c>
      <c r="E924" s="2">
        <v>45460</v>
      </c>
      <c r="F924" s="2">
        <v>45462</v>
      </c>
      <c r="G924" t="s">
        <v>23</v>
      </c>
      <c r="H924" t="s">
        <v>24</v>
      </c>
      <c r="I924" s="3">
        <v>4378.0200000000004</v>
      </c>
      <c r="J924" t="s">
        <v>15</v>
      </c>
      <c r="K924" s="4">
        <v>0.8</v>
      </c>
      <c r="L924" s="3">
        <f t="shared" si="56"/>
        <v>3502.4160000000006</v>
      </c>
      <c r="M924" s="3">
        <f t="shared" si="57"/>
        <v>875.60399999999993</v>
      </c>
      <c r="N924">
        <f t="shared" si="58"/>
        <v>2</v>
      </c>
      <c r="O924" s="3">
        <f t="shared" si="59"/>
        <v>4378.0200000000004</v>
      </c>
      <c r="P924" t="str" cm="1">
        <f t="array" ref="P924">_xlfn.IFS(C924&lt;18, "Under 18", C924&lt;36, "Btw 18&amp;35", C924&lt;51, "Btw 36&amp;50", C924&lt;66, "Btw 51&amp;65", C924&gt;=66," 66&amp;Above")</f>
        <v>Btw 18&amp;35</v>
      </c>
    </row>
    <row r="925" spans="1:16">
      <c r="A925" t="s">
        <v>1631</v>
      </c>
      <c r="B925" t="s">
        <v>37</v>
      </c>
      <c r="C925">
        <v>36</v>
      </c>
      <c r="D925" t="s">
        <v>18</v>
      </c>
      <c r="E925" s="2">
        <v>45582</v>
      </c>
      <c r="F925" s="2">
        <v>45590</v>
      </c>
      <c r="G925" t="s">
        <v>60</v>
      </c>
      <c r="H925" t="s">
        <v>142</v>
      </c>
      <c r="I925" s="3">
        <v>17866.580000000002</v>
      </c>
      <c r="J925" t="s">
        <v>25</v>
      </c>
      <c r="K925" s="4">
        <v>0.9</v>
      </c>
      <c r="L925" s="3">
        <f t="shared" si="56"/>
        <v>16079.922000000002</v>
      </c>
      <c r="M925" s="3">
        <f t="shared" si="57"/>
        <v>1786.6579999999997</v>
      </c>
      <c r="N925">
        <f t="shared" si="58"/>
        <v>8</v>
      </c>
      <c r="O925" s="3">
        <f t="shared" si="59"/>
        <v>0</v>
      </c>
      <c r="P925" t="str" cm="1">
        <f t="array" ref="P925">_xlfn.IFS(C925&lt;18, "Under 18", C925&lt;36, "Btw 18&amp;35", C925&lt;51, "Btw 36&amp;50", C925&lt;66, "Btw 51&amp;65", C925&gt;=66," 66&amp;Above")</f>
        <v>Btw 36&amp;50</v>
      </c>
    </row>
    <row r="926" spans="1:16">
      <c r="A926" t="s">
        <v>1632</v>
      </c>
      <c r="B926" t="s">
        <v>958</v>
      </c>
      <c r="C926">
        <v>79</v>
      </c>
      <c r="D926" t="s">
        <v>12</v>
      </c>
      <c r="E926" s="2">
        <v>45734</v>
      </c>
      <c r="F926" s="2">
        <v>45738</v>
      </c>
      <c r="G926" t="s">
        <v>13</v>
      </c>
      <c r="H926" t="s">
        <v>111</v>
      </c>
      <c r="I926" s="3">
        <v>5517.67</v>
      </c>
      <c r="J926" t="s">
        <v>15</v>
      </c>
      <c r="K926" s="4">
        <v>0.9</v>
      </c>
      <c r="L926" s="3">
        <f t="shared" si="56"/>
        <v>4965.9030000000002</v>
      </c>
      <c r="M926" s="3">
        <f t="shared" si="57"/>
        <v>551.76699999999994</v>
      </c>
      <c r="N926">
        <f t="shared" si="58"/>
        <v>4</v>
      </c>
      <c r="O926" s="3">
        <f t="shared" si="59"/>
        <v>5517.67</v>
      </c>
      <c r="P926" t="str" cm="1">
        <f t="array" ref="P926">_xlfn.IFS(C926&lt;18, "Under 18", C926&lt;36, "Btw 18&amp;35", C926&lt;51, "Btw 36&amp;50", C926&lt;66, "Btw 51&amp;65", C926&gt;=66," 66&amp;Above")</f>
        <v xml:space="preserve"> 66&amp;Above</v>
      </c>
    </row>
    <row r="927" spans="1:16">
      <c r="A927" t="s">
        <v>1633</v>
      </c>
      <c r="B927" t="s">
        <v>344</v>
      </c>
      <c r="C927">
        <v>48</v>
      </c>
      <c r="D927" t="s">
        <v>18</v>
      </c>
      <c r="E927" s="2">
        <v>45570</v>
      </c>
      <c r="F927" s="2">
        <v>45577</v>
      </c>
      <c r="G927" t="s">
        <v>70</v>
      </c>
      <c r="H927" t="s">
        <v>194</v>
      </c>
      <c r="I927" s="3">
        <v>14595.77</v>
      </c>
      <c r="J927" t="s">
        <v>15</v>
      </c>
      <c r="K927" s="4">
        <v>0.8</v>
      </c>
      <c r="L927" s="3">
        <f t="shared" si="56"/>
        <v>11676.616000000002</v>
      </c>
      <c r="M927" s="3">
        <f t="shared" si="57"/>
        <v>2919.1539999999995</v>
      </c>
      <c r="N927">
        <f t="shared" si="58"/>
        <v>7</v>
      </c>
      <c r="O927" s="3">
        <f t="shared" si="59"/>
        <v>14595.77</v>
      </c>
      <c r="P927" t="str" cm="1">
        <f t="array" ref="P927">_xlfn.IFS(C927&lt;18, "Under 18", C927&lt;36, "Btw 18&amp;35", C927&lt;51, "Btw 36&amp;50", C927&lt;66, "Btw 51&amp;65", C927&gt;=66," 66&amp;Above")</f>
        <v>Btw 36&amp;50</v>
      </c>
    </row>
    <row r="928" spans="1:16">
      <c r="A928" t="s">
        <v>1634</v>
      </c>
      <c r="B928" t="s">
        <v>1512</v>
      </c>
      <c r="C928">
        <v>42</v>
      </c>
      <c r="D928" t="s">
        <v>12</v>
      </c>
      <c r="E928" s="2">
        <v>45626</v>
      </c>
      <c r="F928" s="2">
        <v>45627</v>
      </c>
      <c r="G928" t="s">
        <v>31</v>
      </c>
      <c r="H928" t="s">
        <v>44</v>
      </c>
      <c r="I928" s="3">
        <v>543.05999999999995</v>
      </c>
      <c r="J928" t="s">
        <v>15</v>
      </c>
      <c r="K928" s="4">
        <v>0.5</v>
      </c>
      <c r="L928" s="3">
        <f t="shared" si="56"/>
        <v>271.52999999999997</v>
      </c>
      <c r="M928" s="3">
        <f t="shared" si="57"/>
        <v>271.52999999999997</v>
      </c>
      <c r="N928">
        <f t="shared" si="58"/>
        <v>1</v>
      </c>
      <c r="O928" s="3">
        <f t="shared" si="59"/>
        <v>543.05999999999995</v>
      </c>
      <c r="P928" t="str" cm="1">
        <f t="array" ref="P928">_xlfn.IFS(C928&lt;18, "Under 18", C928&lt;36, "Btw 18&amp;35", C928&lt;51, "Btw 36&amp;50", C928&lt;66, "Btw 51&amp;65", C928&gt;=66," 66&amp;Above")</f>
        <v>Btw 36&amp;50</v>
      </c>
    </row>
    <row r="929" spans="1:16">
      <c r="A929" t="s">
        <v>1635</v>
      </c>
      <c r="B929" t="s">
        <v>538</v>
      </c>
      <c r="C929">
        <v>25</v>
      </c>
      <c r="D929" t="s">
        <v>18</v>
      </c>
      <c r="E929" s="2">
        <v>45316</v>
      </c>
      <c r="F929" s="2">
        <v>45321</v>
      </c>
      <c r="G929" t="s">
        <v>60</v>
      </c>
      <c r="H929" t="s">
        <v>74</v>
      </c>
      <c r="I929" s="3">
        <v>5082.0600000000004</v>
      </c>
      <c r="J929" t="s">
        <v>20</v>
      </c>
      <c r="K929" s="4">
        <v>0</v>
      </c>
      <c r="L929" s="3">
        <f t="shared" si="56"/>
        <v>0</v>
      </c>
      <c r="M929" s="3">
        <f t="shared" si="57"/>
        <v>5082.0600000000004</v>
      </c>
      <c r="N929">
        <f t="shared" si="58"/>
        <v>5</v>
      </c>
      <c r="O929" s="3">
        <f t="shared" si="59"/>
        <v>0</v>
      </c>
      <c r="P929" t="str" cm="1">
        <f t="array" ref="P929">_xlfn.IFS(C929&lt;18, "Under 18", C929&lt;36, "Btw 18&amp;35", C929&lt;51, "Btw 36&amp;50", C929&lt;66, "Btw 51&amp;65", C929&gt;=66," 66&amp;Above")</f>
        <v>Btw 18&amp;35</v>
      </c>
    </row>
    <row r="930" spans="1:16">
      <c r="A930" t="s">
        <v>1636</v>
      </c>
      <c r="B930" t="s">
        <v>1637</v>
      </c>
      <c r="C930">
        <v>38</v>
      </c>
      <c r="D930" t="s">
        <v>12</v>
      </c>
      <c r="E930" s="2">
        <v>45846</v>
      </c>
      <c r="F930" s="2">
        <v>45848</v>
      </c>
      <c r="G930" t="s">
        <v>23</v>
      </c>
      <c r="H930" t="s">
        <v>204</v>
      </c>
      <c r="I930" s="3">
        <v>2871.13</v>
      </c>
      <c r="J930" t="s">
        <v>15</v>
      </c>
      <c r="K930" s="4">
        <v>0.9</v>
      </c>
      <c r="L930" s="3">
        <f t="shared" si="56"/>
        <v>2584.0170000000003</v>
      </c>
      <c r="M930" s="3">
        <f t="shared" si="57"/>
        <v>287.11299999999994</v>
      </c>
      <c r="N930">
        <f t="shared" si="58"/>
        <v>2</v>
      </c>
      <c r="O930" s="3">
        <f t="shared" si="59"/>
        <v>2871.13</v>
      </c>
      <c r="P930" t="str" cm="1">
        <f t="array" ref="P930">_xlfn.IFS(C930&lt;18, "Under 18", C930&lt;36, "Btw 18&amp;35", C930&lt;51, "Btw 36&amp;50", C930&lt;66, "Btw 51&amp;65", C930&gt;=66," 66&amp;Above")</f>
        <v>Btw 36&amp;50</v>
      </c>
    </row>
    <row r="931" spans="1:16">
      <c r="A931" t="s">
        <v>1638</v>
      </c>
      <c r="B931" t="s">
        <v>1639</v>
      </c>
      <c r="C931">
        <v>67</v>
      </c>
      <c r="D931" t="s">
        <v>18</v>
      </c>
      <c r="E931" s="2">
        <v>45643</v>
      </c>
      <c r="F931" s="2">
        <v>45645</v>
      </c>
      <c r="G931" t="s">
        <v>60</v>
      </c>
      <c r="H931" t="s">
        <v>97</v>
      </c>
      <c r="I931" s="3">
        <v>4425.1499999999996</v>
      </c>
      <c r="J931" t="s">
        <v>15</v>
      </c>
      <c r="K931" s="4">
        <v>0.7</v>
      </c>
      <c r="L931" s="3">
        <f t="shared" si="56"/>
        <v>3097.6049999999996</v>
      </c>
      <c r="M931" s="3">
        <f t="shared" si="57"/>
        <v>1327.5450000000001</v>
      </c>
      <c r="N931">
        <f t="shared" si="58"/>
        <v>2</v>
      </c>
      <c r="O931" s="3">
        <f t="shared" si="59"/>
        <v>4425.1499999999996</v>
      </c>
      <c r="P931" t="str" cm="1">
        <f t="array" ref="P931">_xlfn.IFS(C931&lt;18, "Under 18", C931&lt;36, "Btw 18&amp;35", C931&lt;51, "Btw 36&amp;50", C931&lt;66, "Btw 51&amp;65", C931&gt;=66," 66&amp;Above")</f>
        <v xml:space="preserve"> 66&amp;Above</v>
      </c>
    </row>
    <row r="932" spans="1:16">
      <c r="A932" t="s">
        <v>1640</v>
      </c>
      <c r="B932" t="s">
        <v>1641</v>
      </c>
      <c r="C932">
        <v>28</v>
      </c>
      <c r="D932" t="s">
        <v>18</v>
      </c>
      <c r="E932" s="2">
        <v>45661</v>
      </c>
      <c r="F932" s="2">
        <v>45662</v>
      </c>
      <c r="G932" t="s">
        <v>23</v>
      </c>
      <c r="H932" t="s">
        <v>41</v>
      </c>
      <c r="I932" s="3">
        <v>1958.56</v>
      </c>
      <c r="J932" t="s">
        <v>15</v>
      </c>
      <c r="K932" s="4">
        <v>0.8</v>
      </c>
      <c r="L932" s="3">
        <f t="shared" si="56"/>
        <v>1566.848</v>
      </c>
      <c r="M932" s="3">
        <f t="shared" si="57"/>
        <v>391.71199999999988</v>
      </c>
      <c r="N932">
        <f t="shared" si="58"/>
        <v>1</v>
      </c>
      <c r="O932" s="3">
        <f t="shared" si="59"/>
        <v>1958.56</v>
      </c>
      <c r="P932" t="str" cm="1">
        <f t="array" ref="P932">_xlfn.IFS(C932&lt;18, "Under 18", C932&lt;36, "Btw 18&amp;35", C932&lt;51, "Btw 36&amp;50", C932&lt;66, "Btw 51&amp;65", C932&gt;=66," 66&amp;Above")</f>
        <v>Btw 18&amp;35</v>
      </c>
    </row>
    <row r="933" spans="1:16">
      <c r="A933" t="s">
        <v>1642</v>
      </c>
      <c r="B933" t="s">
        <v>1643</v>
      </c>
      <c r="C933">
        <v>68</v>
      </c>
      <c r="D933" t="s">
        <v>12</v>
      </c>
      <c r="E933" s="2">
        <v>45767</v>
      </c>
      <c r="F933" s="2">
        <v>45769</v>
      </c>
      <c r="G933" t="s">
        <v>31</v>
      </c>
      <c r="H933" t="s">
        <v>44</v>
      </c>
      <c r="I933" s="3">
        <v>2268.81</v>
      </c>
      <c r="J933" t="s">
        <v>15</v>
      </c>
      <c r="K933" s="4">
        <v>0.8</v>
      </c>
      <c r="L933" s="3">
        <f t="shared" si="56"/>
        <v>1815.048</v>
      </c>
      <c r="M933" s="3">
        <f t="shared" si="57"/>
        <v>453.76199999999989</v>
      </c>
      <c r="N933">
        <f t="shared" si="58"/>
        <v>2</v>
      </c>
      <c r="O933" s="3">
        <f t="shared" si="59"/>
        <v>2268.81</v>
      </c>
      <c r="P933" t="str" cm="1">
        <f t="array" ref="P933">_xlfn.IFS(C933&lt;18, "Under 18", C933&lt;36, "Btw 18&amp;35", C933&lt;51, "Btw 36&amp;50", C933&lt;66, "Btw 51&amp;65", C933&gt;=66," 66&amp;Above")</f>
        <v xml:space="preserve"> 66&amp;Above</v>
      </c>
    </row>
    <row r="934" spans="1:16">
      <c r="A934" t="s">
        <v>1644</v>
      </c>
      <c r="B934" t="s">
        <v>43</v>
      </c>
      <c r="C934">
        <v>41</v>
      </c>
      <c r="D934" t="s">
        <v>12</v>
      </c>
      <c r="E934" s="2">
        <v>45895</v>
      </c>
      <c r="F934" s="2">
        <v>45904</v>
      </c>
      <c r="G934" t="s">
        <v>70</v>
      </c>
      <c r="H934" t="s">
        <v>71</v>
      </c>
      <c r="I934" s="3">
        <v>22621.47</v>
      </c>
      <c r="J934" t="s">
        <v>25</v>
      </c>
      <c r="K934" s="4">
        <v>0.7</v>
      </c>
      <c r="L934" s="3">
        <f t="shared" si="56"/>
        <v>15835.029</v>
      </c>
      <c r="M934" s="3">
        <f t="shared" si="57"/>
        <v>6786.4410000000016</v>
      </c>
      <c r="N934">
        <f t="shared" si="58"/>
        <v>9</v>
      </c>
      <c r="O934" s="3">
        <f t="shared" si="59"/>
        <v>0</v>
      </c>
      <c r="P934" t="str" cm="1">
        <f t="array" ref="P934">_xlfn.IFS(C934&lt;18, "Under 18", C934&lt;36, "Btw 18&amp;35", C934&lt;51, "Btw 36&amp;50", C934&lt;66, "Btw 51&amp;65", C934&gt;=66," 66&amp;Above")</f>
        <v>Btw 36&amp;50</v>
      </c>
    </row>
    <row r="935" spans="1:16">
      <c r="A935" t="s">
        <v>1645</v>
      </c>
      <c r="B935" t="s">
        <v>1646</v>
      </c>
      <c r="C935">
        <v>46</v>
      </c>
      <c r="D935" t="s">
        <v>18</v>
      </c>
      <c r="E935" s="2">
        <v>45978</v>
      </c>
      <c r="F935" s="2">
        <v>45981</v>
      </c>
      <c r="G935" t="s">
        <v>60</v>
      </c>
      <c r="H935" t="s">
        <v>77</v>
      </c>
      <c r="I935" s="3">
        <v>3972.12</v>
      </c>
      <c r="J935" t="s">
        <v>20</v>
      </c>
      <c r="K935" s="4">
        <v>0.5</v>
      </c>
      <c r="L935" s="3">
        <f t="shared" si="56"/>
        <v>1986.06</v>
      </c>
      <c r="M935" s="3">
        <f t="shared" si="57"/>
        <v>1986.06</v>
      </c>
      <c r="N935">
        <f t="shared" si="58"/>
        <v>3</v>
      </c>
      <c r="O935" s="3">
        <f t="shared" si="59"/>
        <v>0</v>
      </c>
      <c r="P935" t="str" cm="1">
        <f t="array" ref="P935">_xlfn.IFS(C935&lt;18, "Under 18", C935&lt;36, "Btw 18&amp;35", C935&lt;51, "Btw 36&amp;50", C935&lt;66, "Btw 51&amp;65", C935&gt;=66," 66&amp;Above")</f>
        <v>Btw 36&amp;50</v>
      </c>
    </row>
    <row r="936" spans="1:16">
      <c r="A936" t="s">
        <v>1647</v>
      </c>
      <c r="B936" t="s">
        <v>519</v>
      </c>
      <c r="C936">
        <v>16</v>
      </c>
      <c r="D936" t="s">
        <v>18</v>
      </c>
      <c r="E936" s="2">
        <v>45414</v>
      </c>
      <c r="F936" s="2">
        <v>45415</v>
      </c>
      <c r="G936" t="s">
        <v>49</v>
      </c>
      <c r="H936" t="s">
        <v>50</v>
      </c>
      <c r="I936" s="3">
        <v>921.67</v>
      </c>
      <c r="J936" t="s">
        <v>15</v>
      </c>
      <c r="K936" s="4">
        <v>1</v>
      </c>
      <c r="L936" s="3">
        <f t="shared" si="56"/>
        <v>921.67</v>
      </c>
      <c r="M936" s="3">
        <f t="shared" si="57"/>
        <v>0</v>
      </c>
      <c r="N936">
        <f t="shared" si="58"/>
        <v>1</v>
      </c>
      <c r="O936" s="3">
        <f t="shared" si="59"/>
        <v>921.67</v>
      </c>
      <c r="P936" t="str" cm="1">
        <f t="array" ref="P936">_xlfn.IFS(C936&lt;18, "Under 18", C936&lt;36, "Btw 18&amp;35", C936&lt;51, "Btw 36&amp;50", C936&lt;66, "Btw 51&amp;65", C936&gt;=66," 66&amp;Above")</f>
        <v>Under 18</v>
      </c>
    </row>
    <row r="937" spans="1:16">
      <c r="A937" t="s">
        <v>1648</v>
      </c>
      <c r="B937" t="s">
        <v>116</v>
      </c>
      <c r="C937">
        <v>48</v>
      </c>
      <c r="D937" t="s">
        <v>18</v>
      </c>
      <c r="E937" s="2">
        <v>45503</v>
      </c>
      <c r="F937" s="2">
        <v>45505</v>
      </c>
      <c r="G937" t="s">
        <v>23</v>
      </c>
      <c r="H937" t="s">
        <v>82</v>
      </c>
      <c r="I937" s="3">
        <v>3783.41</v>
      </c>
      <c r="J937" t="s">
        <v>20</v>
      </c>
      <c r="K937" s="4">
        <v>0.7</v>
      </c>
      <c r="L937" s="3">
        <f t="shared" si="56"/>
        <v>2648.3869999999997</v>
      </c>
      <c r="M937" s="3">
        <f t="shared" si="57"/>
        <v>1135.0230000000001</v>
      </c>
      <c r="N937">
        <f t="shared" si="58"/>
        <v>2</v>
      </c>
      <c r="O937" s="3">
        <f t="shared" si="59"/>
        <v>0</v>
      </c>
      <c r="P937" t="str" cm="1">
        <f t="array" ref="P937">_xlfn.IFS(C937&lt;18, "Under 18", C937&lt;36, "Btw 18&amp;35", C937&lt;51, "Btw 36&amp;50", C937&lt;66, "Btw 51&amp;65", C937&gt;=66," 66&amp;Above")</f>
        <v>Btw 36&amp;50</v>
      </c>
    </row>
    <row r="938" spans="1:16">
      <c r="A938" t="s">
        <v>1649</v>
      </c>
      <c r="B938" t="s">
        <v>239</v>
      </c>
      <c r="C938">
        <v>31</v>
      </c>
      <c r="D938" t="s">
        <v>12</v>
      </c>
      <c r="E938" s="2">
        <v>45681</v>
      </c>
      <c r="F938" s="2">
        <v>45684</v>
      </c>
      <c r="G938" t="s">
        <v>23</v>
      </c>
      <c r="H938" t="s">
        <v>204</v>
      </c>
      <c r="I938" s="3">
        <v>3007.82</v>
      </c>
      <c r="J938" t="s">
        <v>20</v>
      </c>
      <c r="K938" s="4">
        <v>0.6</v>
      </c>
      <c r="L938" s="3">
        <f t="shared" si="56"/>
        <v>1804.692</v>
      </c>
      <c r="M938" s="3">
        <f t="shared" si="57"/>
        <v>1203.1280000000002</v>
      </c>
      <c r="N938">
        <f t="shared" si="58"/>
        <v>3</v>
      </c>
      <c r="O938" s="3">
        <f t="shared" si="59"/>
        <v>0</v>
      </c>
      <c r="P938" t="str" cm="1">
        <f t="array" ref="P938">_xlfn.IFS(C938&lt;18, "Under 18", C938&lt;36, "Btw 18&amp;35", C938&lt;51, "Btw 36&amp;50", C938&lt;66, "Btw 51&amp;65", C938&gt;=66," 66&amp;Above")</f>
        <v>Btw 18&amp;35</v>
      </c>
    </row>
    <row r="939" spans="1:16">
      <c r="A939" t="s">
        <v>1650</v>
      </c>
      <c r="B939" t="s">
        <v>1651</v>
      </c>
      <c r="C939">
        <v>12</v>
      </c>
      <c r="D939" t="s">
        <v>12</v>
      </c>
      <c r="E939" s="2">
        <v>45733</v>
      </c>
      <c r="F939" s="2">
        <v>45738</v>
      </c>
      <c r="G939" t="s">
        <v>49</v>
      </c>
      <c r="H939" t="s">
        <v>378</v>
      </c>
      <c r="I939" s="3">
        <v>6547.21</v>
      </c>
      <c r="J939" t="s">
        <v>25</v>
      </c>
      <c r="K939" s="4">
        <v>0.8</v>
      </c>
      <c r="L939" s="3">
        <f t="shared" si="56"/>
        <v>5237.768</v>
      </c>
      <c r="M939" s="3">
        <f t="shared" si="57"/>
        <v>1309.4419999999998</v>
      </c>
      <c r="N939">
        <f t="shared" si="58"/>
        <v>5</v>
      </c>
      <c r="O939" s="3">
        <f t="shared" si="59"/>
        <v>0</v>
      </c>
      <c r="P939" t="str" cm="1">
        <f t="array" ref="P939">_xlfn.IFS(C939&lt;18, "Under 18", C939&lt;36, "Btw 18&amp;35", C939&lt;51, "Btw 36&amp;50", C939&lt;66, "Btw 51&amp;65", C939&gt;=66," 66&amp;Above")</f>
        <v>Under 18</v>
      </c>
    </row>
    <row r="940" spans="1:16">
      <c r="A940" t="s">
        <v>1652</v>
      </c>
      <c r="B940" t="s">
        <v>1653</v>
      </c>
      <c r="C940">
        <v>79</v>
      </c>
      <c r="D940" t="s">
        <v>12</v>
      </c>
      <c r="E940" s="2">
        <v>45891</v>
      </c>
      <c r="F940" s="2">
        <v>45897</v>
      </c>
      <c r="G940" t="s">
        <v>70</v>
      </c>
      <c r="H940" t="s">
        <v>194</v>
      </c>
      <c r="I940" s="3">
        <v>6760.22</v>
      </c>
      <c r="J940" t="s">
        <v>15</v>
      </c>
      <c r="K940" s="4">
        <v>0.9</v>
      </c>
      <c r="L940" s="3">
        <f t="shared" si="56"/>
        <v>6084.1980000000003</v>
      </c>
      <c r="M940" s="3">
        <f t="shared" si="57"/>
        <v>676.02199999999982</v>
      </c>
      <c r="N940">
        <f t="shared" si="58"/>
        <v>6</v>
      </c>
      <c r="O940" s="3">
        <f t="shared" si="59"/>
        <v>6760.22</v>
      </c>
      <c r="P940" t="str" cm="1">
        <f t="array" ref="P940">_xlfn.IFS(C940&lt;18, "Under 18", C940&lt;36, "Btw 18&amp;35", C940&lt;51, "Btw 36&amp;50", C940&lt;66, "Btw 51&amp;65", C940&gt;=66," 66&amp;Above")</f>
        <v xml:space="preserve"> 66&amp;Above</v>
      </c>
    </row>
    <row r="941" spans="1:16">
      <c r="A941" t="s">
        <v>1654</v>
      </c>
      <c r="B941" t="s">
        <v>1655</v>
      </c>
      <c r="C941">
        <v>48</v>
      </c>
      <c r="D941" t="s">
        <v>12</v>
      </c>
      <c r="E941" s="2">
        <v>45768</v>
      </c>
      <c r="F941" s="2">
        <v>45771</v>
      </c>
      <c r="G941" t="s">
        <v>31</v>
      </c>
      <c r="H941" t="s">
        <v>87</v>
      </c>
      <c r="I941" s="3">
        <v>3865.55</v>
      </c>
      <c r="J941" t="s">
        <v>15</v>
      </c>
      <c r="K941" s="4">
        <v>0.8</v>
      </c>
      <c r="L941" s="3">
        <f t="shared" si="56"/>
        <v>3092.4400000000005</v>
      </c>
      <c r="M941" s="3">
        <f t="shared" si="57"/>
        <v>773.1099999999999</v>
      </c>
      <c r="N941">
        <f t="shared" si="58"/>
        <v>3</v>
      </c>
      <c r="O941" s="3">
        <f t="shared" si="59"/>
        <v>3865.55</v>
      </c>
      <c r="P941" t="str" cm="1">
        <f t="array" ref="P941">_xlfn.IFS(C941&lt;18, "Under 18", C941&lt;36, "Btw 18&amp;35", C941&lt;51, "Btw 36&amp;50", C941&lt;66, "Btw 51&amp;65", C941&gt;=66," 66&amp;Above")</f>
        <v>Btw 36&amp;50</v>
      </c>
    </row>
    <row r="942" spans="1:16">
      <c r="A942" t="s">
        <v>1656</v>
      </c>
      <c r="B942" t="s">
        <v>789</v>
      </c>
      <c r="C942">
        <v>43</v>
      </c>
      <c r="D942" t="s">
        <v>12</v>
      </c>
      <c r="E942" s="2">
        <v>45383</v>
      </c>
      <c r="F942" s="2">
        <v>45389</v>
      </c>
      <c r="G942" t="s">
        <v>31</v>
      </c>
      <c r="H942" t="s">
        <v>53</v>
      </c>
      <c r="I942" s="3">
        <v>5921.38</v>
      </c>
      <c r="J942" t="s">
        <v>15</v>
      </c>
      <c r="K942" s="4">
        <v>0.7</v>
      </c>
      <c r="L942" s="3">
        <f t="shared" si="56"/>
        <v>4144.9659999999994</v>
      </c>
      <c r="M942" s="3">
        <f t="shared" si="57"/>
        <v>1776.4140000000002</v>
      </c>
      <c r="N942">
        <f t="shared" si="58"/>
        <v>6</v>
      </c>
      <c r="O942" s="3">
        <f t="shared" si="59"/>
        <v>5921.38</v>
      </c>
      <c r="P942" t="str" cm="1">
        <f t="array" ref="P942">_xlfn.IFS(C942&lt;18, "Under 18", C942&lt;36, "Btw 18&amp;35", C942&lt;51, "Btw 36&amp;50", C942&lt;66, "Btw 51&amp;65", C942&gt;=66," 66&amp;Above")</f>
        <v>Btw 36&amp;50</v>
      </c>
    </row>
    <row r="943" spans="1:16">
      <c r="A943" t="s">
        <v>1657</v>
      </c>
      <c r="B943" t="s">
        <v>292</v>
      </c>
      <c r="C943">
        <v>34</v>
      </c>
      <c r="D943" t="s">
        <v>12</v>
      </c>
      <c r="E943" s="2">
        <v>45607</v>
      </c>
      <c r="F943" s="2">
        <v>45616</v>
      </c>
      <c r="G943" t="s">
        <v>60</v>
      </c>
      <c r="H943" t="s">
        <v>97</v>
      </c>
      <c r="I943" s="3">
        <v>11299.89</v>
      </c>
      <c r="J943" t="s">
        <v>20</v>
      </c>
      <c r="K943" s="4">
        <v>1</v>
      </c>
      <c r="L943" s="3">
        <f t="shared" si="56"/>
        <v>11299.89</v>
      </c>
      <c r="M943" s="3">
        <f t="shared" si="57"/>
        <v>0</v>
      </c>
      <c r="N943">
        <f t="shared" si="58"/>
        <v>9</v>
      </c>
      <c r="O943" s="3">
        <f t="shared" si="59"/>
        <v>0</v>
      </c>
      <c r="P943" t="str" cm="1">
        <f t="array" ref="P943">_xlfn.IFS(C943&lt;18, "Under 18", C943&lt;36, "Btw 18&amp;35", C943&lt;51, "Btw 36&amp;50", C943&lt;66, "Btw 51&amp;65", C943&gt;=66," 66&amp;Above")</f>
        <v>Btw 18&amp;35</v>
      </c>
    </row>
    <row r="944" spans="1:16">
      <c r="A944" t="s">
        <v>1658</v>
      </c>
      <c r="B944" t="s">
        <v>1659</v>
      </c>
      <c r="C944">
        <v>15</v>
      </c>
      <c r="D944" t="s">
        <v>18</v>
      </c>
      <c r="E944" s="2">
        <v>45392</v>
      </c>
      <c r="F944" s="2">
        <v>45396</v>
      </c>
      <c r="G944" t="s">
        <v>49</v>
      </c>
      <c r="H944" t="s">
        <v>120</v>
      </c>
      <c r="I944" s="3">
        <v>4061.69</v>
      </c>
      <c r="J944" t="s">
        <v>15</v>
      </c>
      <c r="K944" s="4">
        <v>0.6</v>
      </c>
      <c r="L944" s="3">
        <f t="shared" si="56"/>
        <v>2437.0140000000001</v>
      </c>
      <c r="M944" s="3">
        <f t="shared" si="57"/>
        <v>1624.6760000000002</v>
      </c>
      <c r="N944">
        <f t="shared" si="58"/>
        <v>4</v>
      </c>
      <c r="O944" s="3">
        <f t="shared" si="59"/>
        <v>4061.69</v>
      </c>
      <c r="P944" t="str" cm="1">
        <f t="array" ref="P944">_xlfn.IFS(C944&lt;18, "Under 18", C944&lt;36, "Btw 18&amp;35", C944&lt;51, "Btw 36&amp;50", C944&lt;66, "Btw 51&amp;65", C944&gt;=66," 66&amp;Above")</f>
        <v>Under 18</v>
      </c>
    </row>
    <row r="945" spans="1:16">
      <c r="A945" t="s">
        <v>1660</v>
      </c>
      <c r="B945" t="s">
        <v>1661</v>
      </c>
      <c r="C945">
        <v>9</v>
      </c>
      <c r="D945" t="s">
        <v>18</v>
      </c>
      <c r="E945" s="2">
        <v>45519</v>
      </c>
      <c r="F945" s="2">
        <v>45520</v>
      </c>
      <c r="G945" t="s">
        <v>49</v>
      </c>
      <c r="H945" t="s">
        <v>120</v>
      </c>
      <c r="I945" s="3">
        <v>1243.02</v>
      </c>
      <c r="J945" t="s">
        <v>15</v>
      </c>
      <c r="K945" s="4">
        <v>0.8</v>
      </c>
      <c r="L945" s="3">
        <f t="shared" si="56"/>
        <v>994.41600000000005</v>
      </c>
      <c r="M945" s="3">
        <f t="shared" si="57"/>
        <v>248.60399999999993</v>
      </c>
      <c r="N945">
        <f t="shared" si="58"/>
        <v>1</v>
      </c>
      <c r="O945" s="3">
        <f t="shared" si="59"/>
        <v>1243.02</v>
      </c>
      <c r="P945" t="str" cm="1">
        <f t="array" ref="P945">_xlfn.IFS(C945&lt;18, "Under 18", C945&lt;36, "Btw 18&amp;35", C945&lt;51, "Btw 36&amp;50", C945&lt;66, "Btw 51&amp;65", C945&gt;=66," 66&amp;Above")</f>
        <v>Under 18</v>
      </c>
    </row>
    <row r="946" spans="1:16">
      <c r="A946" t="s">
        <v>1662</v>
      </c>
      <c r="B946" t="s">
        <v>1663</v>
      </c>
      <c r="C946">
        <v>70</v>
      </c>
      <c r="D946" t="s">
        <v>12</v>
      </c>
      <c r="E946" s="2">
        <v>45592</v>
      </c>
      <c r="F946" s="2">
        <v>45599</v>
      </c>
      <c r="G946" t="s">
        <v>60</v>
      </c>
      <c r="H946" t="s">
        <v>97</v>
      </c>
      <c r="I946" s="3">
        <v>18613.240000000002</v>
      </c>
      <c r="J946" t="s">
        <v>15</v>
      </c>
      <c r="K946" s="4">
        <v>0.8</v>
      </c>
      <c r="L946" s="3">
        <f t="shared" si="56"/>
        <v>14890.592000000002</v>
      </c>
      <c r="M946" s="3">
        <f t="shared" si="57"/>
        <v>3722.6479999999997</v>
      </c>
      <c r="N946">
        <f t="shared" si="58"/>
        <v>7</v>
      </c>
      <c r="O946" s="3">
        <f t="shared" si="59"/>
        <v>18613.240000000002</v>
      </c>
      <c r="P946" t="str" cm="1">
        <f t="array" ref="P946">_xlfn.IFS(C946&lt;18, "Under 18", C946&lt;36, "Btw 18&amp;35", C946&lt;51, "Btw 36&amp;50", C946&lt;66, "Btw 51&amp;65", C946&gt;=66," 66&amp;Above")</f>
        <v xml:space="preserve"> 66&amp;Above</v>
      </c>
    </row>
    <row r="947" spans="1:16">
      <c r="A947" t="s">
        <v>1664</v>
      </c>
      <c r="B947" t="s">
        <v>620</v>
      </c>
      <c r="C947">
        <v>31</v>
      </c>
      <c r="D947" t="s">
        <v>18</v>
      </c>
      <c r="E947" s="2">
        <v>45526</v>
      </c>
      <c r="F947" s="2">
        <v>45529</v>
      </c>
      <c r="G947" t="s">
        <v>70</v>
      </c>
      <c r="H947" t="s">
        <v>71</v>
      </c>
      <c r="I947" s="3">
        <v>4541.45</v>
      </c>
      <c r="J947" t="s">
        <v>15</v>
      </c>
      <c r="K947" s="4">
        <v>0.6</v>
      </c>
      <c r="L947" s="3">
        <f t="shared" si="56"/>
        <v>2724.87</v>
      </c>
      <c r="M947" s="3">
        <f t="shared" si="57"/>
        <v>1816.58</v>
      </c>
      <c r="N947">
        <f t="shared" si="58"/>
        <v>3</v>
      </c>
      <c r="O947" s="3">
        <f t="shared" si="59"/>
        <v>4541.45</v>
      </c>
      <c r="P947" t="str" cm="1">
        <f t="array" ref="P947">_xlfn.IFS(C947&lt;18, "Under 18", C947&lt;36, "Btw 18&amp;35", C947&lt;51, "Btw 36&amp;50", C947&lt;66, "Btw 51&amp;65", C947&gt;=66," 66&amp;Above")</f>
        <v>Btw 18&amp;35</v>
      </c>
    </row>
    <row r="948" spans="1:16">
      <c r="A948" t="s">
        <v>1665</v>
      </c>
      <c r="B948" t="s">
        <v>1666</v>
      </c>
      <c r="C948">
        <v>65</v>
      </c>
      <c r="D948" t="s">
        <v>12</v>
      </c>
      <c r="E948" s="2">
        <v>45967</v>
      </c>
      <c r="F948" s="2">
        <v>45972</v>
      </c>
      <c r="G948" t="s">
        <v>13</v>
      </c>
      <c r="H948" t="s">
        <v>19</v>
      </c>
      <c r="I948" s="3">
        <v>14897.36</v>
      </c>
      <c r="J948" t="s">
        <v>15</v>
      </c>
      <c r="K948" s="4">
        <v>1</v>
      </c>
      <c r="L948" s="3">
        <f t="shared" si="56"/>
        <v>14897.36</v>
      </c>
      <c r="M948" s="3">
        <f t="shared" si="57"/>
        <v>0</v>
      </c>
      <c r="N948">
        <f t="shared" si="58"/>
        <v>5</v>
      </c>
      <c r="O948" s="3">
        <f t="shared" si="59"/>
        <v>14897.36</v>
      </c>
      <c r="P948" t="str" cm="1">
        <f t="array" ref="P948">_xlfn.IFS(C948&lt;18, "Under 18", C948&lt;36, "Btw 18&amp;35", C948&lt;51, "Btw 36&amp;50", C948&lt;66, "Btw 51&amp;65", C948&gt;=66," 66&amp;Above")</f>
        <v>Btw 51&amp;65</v>
      </c>
    </row>
    <row r="949" spans="1:16">
      <c r="A949" t="s">
        <v>1667</v>
      </c>
      <c r="B949" t="s">
        <v>34</v>
      </c>
      <c r="C949">
        <v>60</v>
      </c>
      <c r="D949" t="s">
        <v>12</v>
      </c>
      <c r="E949" s="2">
        <v>45761</v>
      </c>
      <c r="F949" s="2">
        <v>45766</v>
      </c>
      <c r="G949" t="s">
        <v>60</v>
      </c>
      <c r="H949" t="s">
        <v>97</v>
      </c>
      <c r="I949" s="3">
        <v>5557.59</v>
      </c>
      <c r="J949" t="s">
        <v>25</v>
      </c>
      <c r="K949" s="4">
        <v>0.7</v>
      </c>
      <c r="L949" s="3">
        <f t="shared" si="56"/>
        <v>3890.3129999999996</v>
      </c>
      <c r="M949" s="3">
        <f t="shared" si="57"/>
        <v>1667.2770000000003</v>
      </c>
      <c r="N949">
        <f t="shared" si="58"/>
        <v>5</v>
      </c>
      <c r="O949" s="3">
        <f t="shared" si="59"/>
        <v>0</v>
      </c>
      <c r="P949" t="str" cm="1">
        <f t="array" ref="P949">_xlfn.IFS(C949&lt;18, "Under 18", C949&lt;36, "Btw 18&amp;35", C949&lt;51, "Btw 36&amp;50", C949&lt;66, "Btw 51&amp;65", C949&gt;=66," 66&amp;Above")</f>
        <v>Btw 51&amp;65</v>
      </c>
    </row>
    <row r="950" spans="1:16">
      <c r="A950" t="s">
        <v>1668</v>
      </c>
      <c r="B950" t="s">
        <v>1669</v>
      </c>
      <c r="C950">
        <v>59</v>
      </c>
      <c r="D950" t="s">
        <v>18</v>
      </c>
      <c r="E950" s="2">
        <v>45331</v>
      </c>
      <c r="F950" s="2">
        <v>45337</v>
      </c>
      <c r="G950" t="s">
        <v>13</v>
      </c>
      <c r="H950" t="s">
        <v>165</v>
      </c>
      <c r="I950" s="3">
        <v>14526.47</v>
      </c>
      <c r="J950" t="s">
        <v>15</v>
      </c>
      <c r="K950" s="4">
        <v>0.9</v>
      </c>
      <c r="L950" s="3">
        <f t="shared" si="56"/>
        <v>13073.823</v>
      </c>
      <c r="M950" s="3">
        <f t="shared" si="57"/>
        <v>1452.6469999999997</v>
      </c>
      <c r="N950">
        <f t="shared" si="58"/>
        <v>6</v>
      </c>
      <c r="O950" s="3">
        <f t="shared" si="59"/>
        <v>14526.47</v>
      </c>
      <c r="P950" t="str" cm="1">
        <f t="array" ref="P950">_xlfn.IFS(C950&lt;18, "Under 18", C950&lt;36, "Btw 18&amp;35", C950&lt;51, "Btw 36&amp;50", C950&lt;66, "Btw 51&amp;65", C950&gt;=66," 66&amp;Above")</f>
        <v>Btw 51&amp;65</v>
      </c>
    </row>
    <row r="951" spans="1:16">
      <c r="A951" t="s">
        <v>1670</v>
      </c>
      <c r="B951" t="s">
        <v>984</v>
      </c>
      <c r="C951">
        <v>33</v>
      </c>
      <c r="D951" t="s">
        <v>18</v>
      </c>
      <c r="E951" s="2">
        <v>45961</v>
      </c>
      <c r="F951" s="2">
        <v>45968</v>
      </c>
      <c r="G951" t="s">
        <v>31</v>
      </c>
      <c r="H951" t="s">
        <v>234</v>
      </c>
      <c r="I951" s="3">
        <v>6592.81</v>
      </c>
      <c r="J951" t="s">
        <v>20</v>
      </c>
      <c r="K951" s="4">
        <v>0.8</v>
      </c>
      <c r="L951" s="3">
        <f t="shared" si="56"/>
        <v>5274.2480000000005</v>
      </c>
      <c r="M951" s="3">
        <f t="shared" si="57"/>
        <v>1318.5619999999999</v>
      </c>
      <c r="N951">
        <f t="shared" si="58"/>
        <v>7</v>
      </c>
      <c r="O951" s="3">
        <f t="shared" si="59"/>
        <v>0</v>
      </c>
      <c r="P951" t="str" cm="1">
        <f t="array" ref="P951">_xlfn.IFS(C951&lt;18, "Under 18", C951&lt;36, "Btw 18&amp;35", C951&lt;51, "Btw 36&amp;50", C951&lt;66, "Btw 51&amp;65", C951&gt;=66," 66&amp;Above")</f>
        <v>Btw 18&amp;35</v>
      </c>
    </row>
    <row r="952" spans="1:16">
      <c r="A952" t="s">
        <v>1671</v>
      </c>
      <c r="B952" t="s">
        <v>1672</v>
      </c>
      <c r="C952">
        <v>45</v>
      </c>
      <c r="D952" t="s">
        <v>18</v>
      </c>
      <c r="E952" s="2">
        <v>45598</v>
      </c>
      <c r="F952" s="2">
        <v>45602</v>
      </c>
      <c r="G952" t="s">
        <v>31</v>
      </c>
      <c r="H952" t="s">
        <v>114</v>
      </c>
      <c r="I952" s="3">
        <v>5811.71</v>
      </c>
      <c r="J952" t="s">
        <v>15</v>
      </c>
      <c r="K952" s="4">
        <v>0.8</v>
      </c>
      <c r="L952" s="3">
        <f t="shared" si="56"/>
        <v>4649.3680000000004</v>
      </c>
      <c r="M952" s="3">
        <f t="shared" si="57"/>
        <v>1162.3419999999996</v>
      </c>
      <c r="N952">
        <f t="shared" si="58"/>
        <v>4</v>
      </c>
      <c r="O952" s="3">
        <f t="shared" si="59"/>
        <v>5811.71</v>
      </c>
      <c r="P952" t="str" cm="1">
        <f t="array" ref="P952">_xlfn.IFS(C952&lt;18, "Under 18", C952&lt;36, "Btw 18&amp;35", C952&lt;51, "Btw 36&amp;50", C952&lt;66, "Btw 51&amp;65", C952&gt;=66," 66&amp;Above")</f>
        <v>Btw 36&amp;50</v>
      </c>
    </row>
    <row r="953" spans="1:16">
      <c r="A953" t="s">
        <v>1673</v>
      </c>
      <c r="B953" t="s">
        <v>1674</v>
      </c>
      <c r="C953">
        <v>72</v>
      </c>
      <c r="D953" t="s">
        <v>18</v>
      </c>
      <c r="E953" s="2">
        <v>45486</v>
      </c>
      <c r="F953" s="2">
        <v>45493</v>
      </c>
      <c r="G953" t="s">
        <v>60</v>
      </c>
      <c r="H953" t="s">
        <v>142</v>
      </c>
      <c r="I953" s="3">
        <v>15420.8</v>
      </c>
      <c r="J953" t="s">
        <v>25</v>
      </c>
      <c r="K953" s="4">
        <v>0.6</v>
      </c>
      <c r="L953" s="3">
        <f t="shared" si="56"/>
        <v>9252.48</v>
      </c>
      <c r="M953" s="3">
        <f t="shared" si="57"/>
        <v>6168.32</v>
      </c>
      <c r="N953">
        <f t="shared" si="58"/>
        <v>7</v>
      </c>
      <c r="O953" s="3">
        <f t="shared" si="59"/>
        <v>0</v>
      </c>
      <c r="P953" t="str" cm="1">
        <f t="array" ref="P953">_xlfn.IFS(C953&lt;18, "Under 18", C953&lt;36, "Btw 18&amp;35", C953&lt;51, "Btw 36&amp;50", C953&lt;66, "Btw 51&amp;65", C953&gt;=66," 66&amp;Above")</f>
        <v xml:space="preserve"> 66&amp;Above</v>
      </c>
    </row>
    <row r="954" spans="1:16">
      <c r="A954" t="s">
        <v>1675</v>
      </c>
      <c r="B954" t="s">
        <v>944</v>
      </c>
      <c r="C954">
        <v>31</v>
      </c>
      <c r="D954" t="s">
        <v>18</v>
      </c>
      <c r="E954" s="2">
        <v>45327</v>
      </c>
      <c r="F954" s="2">
        <v>45338</v>
      </c>
      <c r="G954" t="s">
        <v>60</v>
      </c>
      <c r="H954" t="s">
        <v>74</v>
      </c>
      <c r="I954" s="3">
        <v>28706.36</v>
      </c>
      <c r="J954" t="s">
        <v>15</v>
      </c>
      <c r="K954" s="4">
        <v>0.8</v>
      </c>
      <c r="L954" s="3">
        <f t="shared" si="56"/>
        <v>22965.088000000003</v>
      </c>
      <c r="M954" s="3">
        <f t="shared" si="57"/>
        <v>5741.271999999999</v>
      </c>
      <c r="N954">
        <f t="shared" si="58"/>
        <v>11</v>
      </c>
      <c r="O954" s="3">
        <f t="shared" si="59"/>
        <v>28706.36</v>
      </c>
      <c r="P954" t="str" cm="1">
        <f t="array" ref="P954">_xlfn.IFS(C954&lt;18, "Under 18", C954&lt;36, "Btw 18&amp;35", C954&lt;51, "Btw 36&amp;50", C954&lt;66, "Btw 51&amp;65", C954&gt;=66," 66&amp;Above")</f>
        <v>Btw 18&amp;35</v>
      </c>
    </row>
    <row r="955" spans="1:16">
      <c r="A955" t="s">
        <v>1676</v>
      </c>
      <c r="B955" t="s">
        <v>1677</v>
      </c>
      <c r="C955">
        <v>78</v>
      </c>
      <c r="D955" t="s">
        <v>18</v>
      </c>
      <c r="E955" s="2">
        <v>45462</v>
      </c>
      <c r="F955" s="2">
        <v>45468</v>
      </c>
      <c r="G955" t="s">
        <v>13</v>
      </c>
      <c r="H955" t="s">
        <v>14</v>
      </c>
      <c r="I955" s="3">
        <v>10923.17</v>
      </c>
      <c r="J955" t="s">
        <v>20</v>
      </c>
      <c r="K955" s="4">
        <v>0.9</v>
      </c>
      <c r="L955" s="3">
        <f t="shared" si="56"/>
        <v>9830.853000000001</v>
      </c>
      <c r="M955" s="3">
        <f t="shared" si="57"/>
        <v>1092.3169999999998</v>
      </c>
      <c r="N955">
        <f t="shared" si="58"/>
        <v>6</v>
      </c>
      <c r="O955" s="3">
        <f t="shared" si="59"/>
        <v>0</v>
      </c>
      <c r="P955" t="str" cm="1">
        <f t="array" ref="P955">_xlfn.IFS(C955&lt;18, "Under 18", C955&lt;36, "Btw 18&amp;35", C955&lt;51, "Btw 36&amp;50", C955&lt;66, "Btw 51&amp;65", C955&gt;=66," 66&amp;Above")</f>
        <v xml:space="preserve"> 66&amp;Above</v>
      </c>
    </row>
    <row r="956" spans="1:16">
      <c r="A956" t="s">
        <v>1678</v>
      </c>
      <c r="B956" t="s">
        <v>302</v>
      </c>
      <c r="C956">
        <v>52</v>
      </c>
      <c r="D956" t="s">
        <v>18</v>
      </c>
      <c r="E956" s="2">
        <v>45696</v>
      </c>
      <c r="F956" s="2">
        <v>45705</v>
      </c>
      <c r="G956" t="s">
        <v>70</v>
      </c>
      <c r="H956" t="s">
        <v>157</v>
      </c>
      <c r="I956" s="3">
        <v>20558.88</v>
      </c>
      <c r="J956" t="s">
        <v>15</v>
      </c>
      <c r="K956" s="4">
        <v>0.9</v>
      </c>
      <c r="L956" s="3">
        <f t="shared" si="56"/>
        <v>18502.992000000002</v>
      </c>
      <c r="M956" s="3">
        <f t="shared" si="57"/>
        <v>2055.8879999999995</v>
      </c>
      <c r="N956">
        <f t="shared" si="58"/>
        <v>9</v>
      </c>
      <c r="O956" s="3">
        <f t="shared" si="59"/>
        <v>20558.88</v>
      </c>
      <c r="P956" t="str" cm="1">
        <f t="array" ref="P956">_xlfn.IFS(C956&lt;18, "Under 18", C956&lt;36, "Btw 18&amp;35", C956&lt;51, "Btw 36&amp;50", C956&lt;66, "Btw 51&amp;65", C956&gt;=66," 66&amp;Above")</f>
        <v>Btw 51&amp;65</v>
      </c>
    </row>
    <row r="957" spans="1:16">
      <c r="A957" t="s">
        <v>1679</v>
      </c>
      <c r="B957" t="s">
        <v>177</v>
      </c>
      <c r="C957">
        <v>41</v>
      </c>
      <c r="D957" t="s">
        <v>12</v>
      </c>
      <c r="E957" s="2">
        <v>45988</v>
      </c>
      <c r="F957" s="2">
        <v>45989</v>
      </c>
      <c r="G957" t="s">
        <v>31</v>
      </c>
      <c r="H957" t="s">
        <v>35</v>
      </c>
      <c r="I957" s="3">
        <v>759.83</v>
      </c>
      <c r="J957" t="s">
        <v>15</v>
      </c>
      <c r="K957" s="4">
        <v>0.7</v>
      </c>
      <c r="L957" s="3">
        <f t="shared" si="56"/>
        <v>531.88099999999997</v>
      </c>
      <c r="M957" s="3">
        <f t="shared" si="57"/>
        <v>227.94900000000004</v>
      </c>
      <c r="N957">
        <f t="shared" si="58"/>
        <v>1</v>
      </c>
      <c r="O957" s="3">
        <f t="shared" si="59"/>
        <v>759.83</v>
      </c>
      <c r="P957" t="str" cm="1">
        <f t="array" ref="P957">_xlfn.IFS(C957&lt;18, "Under 18", C957&lt;36, "Btw 18&amp;35", C957&lt;51, "Btw 36&amp;50", C957&lt;66, "Btw 51&amp;65", C957&gt;=66," 66&amp;Above")</f>
        <v>Btw 36&amp;50</v>
      </c>
    </row>
    <row r="958" spans="1:16">
      <c r="A958" t="s">
        <v>1680</v>
      </c>
      <c r="B958" t="s">
        <v>1639</v>
      </c>
      <c r="C958">
        <v>32</v>
      </c>
      <c r="D958" t="s">
        <v>18</v>
      </c>
      <c r="E958" s="2">
        <v>45697</v>
      </c>
      <c r="F958" s="2">
        <v>45699</v>
      </c>
      <c r="G958" t="s">
        <v>23</v>
      </c>
      <c r="H958" t="s">
        <v>82</v>
      </c>
      <c r="I958" s="3">
        <v>2012.29</v>
      </c>
      <c r="J958" t="s">
        <v>15</v>
      </c>
      <c r="K958" s="4">
        <v>0.7</v>
      </c>
      <c r="L958" s="3">
        <f t="shared" si="56"/>
        <v>1408.6029999999998</v>
      </c>
      <c r="M958" s="3">
        <f t="shared" si="57"/>
        <v>603.68700000000013</v>
      </c>
      <c r="N958">
        <f t="shared" si="58"/>
        <v>2</v>
      </c>
      <c r="O958" s="3">
        <f t="shared" si="59"/>
        <v>2012.29</v>
      </c>
      <c r="P958" t="str" cm="1">
        <f t="array" ref="P958">_xlfn.IFS(C958&lt;18, "Under 18", C958&lt;36, "Btw 18&amp;35", C958&lt;51, "Btw 36&amp;50", C958&lt;66, "Btw 51&amp;65", C958&gt;=66," 66&amp;Above")</f>
        <v>Btw 18&amp;35</v>
      </c>
    </row>
    <row r="959" spans="1:16">
      <c r="A959" t="s">
        <v>1681</v>
      </c>
      <c r="B959" t="s">
        <v>1682</v>
      </c>
      <c r="C959">
        <v>39</v>
      </c>
      <c r="D959" t="s">
        <v>12</v>
      </c>
      <c r="E959" s="2">
        <v>45450</v>
      </c>
      <c r="F959" s="2">
        <v>45456</v>
      </c>
      <c r="G959" t="s">
        <v>60</v>
      </c>
      <c r="H959" t="s">
        <v>61</v>
      </c>
      <c r="I959" s="3">
        <v>16229.56</v>
      </c>
      <c r="J959" t="s">
        <v>15</v>
      </c>
      <c r="K959" s="4">
        <v>0.9</v>
      </c>
      <c r="L959" s="3">
        <f t="shared" si="56"/>
        <v>14606.603999999999</v>
      </c>
      <c r="M959" s="3">
        <f t="shared" si="57"/>
        <v>1622.9559999999997</v>
      </c>
      <c r="N959">
        <f t="shared" si="58"/>
        <v>6</v>
      </c>
      <c r="O959" s="3">
        <f t="shared" si="59"/>
        <v>16229.56</v>
      </c>
      <c r="P959" t="str" cm="1">
        <f t="array" ref="P959">_xlfn.IFS(C959&lt;18, "Under 18", C959&lt;36, "Btw 18&amp;35", C959&lt;51, "Btw 36&amp;50", C959&lt;66, "Btw 51&amp;65", C959&gt;=66," 66&amp;Above")</f>
        <v>Btw 36&amp;50</v>
      </c>
    </row>
    <row r="960" spans="1:16">
      <c r="A960" t="s">
        <v>1683</v>
      </c>
      <c r="B960" t="s">
        <v>367</v>
      </c>
      <c r="C960">
        <v>52</v>
      </c>
      <c r="D960" t="s">
        <v>12</v>
      </c>
      <c r="E960" s="2">
        <v>45304</v>
      </c>
      <c r="F960" s="2">
        <v>45310</v>
      </c>
      <c r="G960" t="s">
        <v>31</v>
      </c>
      <c r="H960" t="s">
        <v>35</v>
      </c>
      <c r="I960" s="3">
        <v>8478.0300000000007</v>
      </c>
      <c r="J960" t="s">
        <v>25</v>
      </c>
      <c r="K960" s="4">
        <v>0.7</v>
      </c>
      <c r="L960" s="3">
        <f t="shared" si="56"/>
        <v>5934.6210000000001</v>
      </c>
      <c r="M960" s="3">
        <f t="shared" si="57"/>
        <v>2543.4090000000006</v>
      </c>
      <c r="N960">
        <f t="shared" si="58"/>
        <v>6</v>
      </c>
      <c r="O960" s="3">
        <f t="shared" si="59"/>
        <v>0</v>
      </c>
      <c r="P960" t="str" cm="1">
        <f t="array" ref="P960">_xlfn.IFS(C960&lt;18, "Under 18", C960&lt;36, "Btw 18&amp;35", C960&lt;51, "Btw 36&amp;50", C960&lt;66, "Btw 51&amp;65", C960&gt;=66," 66&amp;Above")</f>
        <v>Btw 51&amp;65</v>
      </c>
    </row>
    <row r="961" spans="1:16">
      <c r="A961" t="s">
        <v>1684</v>
      </c>
      <c r="B961" t="s">
        <v>1685</v>
      </c>
      <c r="C961">
        <v>58</v>
      </c>
      <c r="D961" t="s">
        <v>18</v>
      </c>
      <c r="E961" s="2">
        <v>45470</v>
      </c>
      <c r="F961" s="2">
        <v>45480</v>
      </c>
      <c r="G961" t="s">
        <v>70</v>
      </c>
      <c r="H961" t="s">
        <v>157</v>
      </c>
      <c r="I961" s="3">
        <v>23264.42</v>
      </c>
      <c r="J961" t="s">
        <v>15</v>
      </c>
      <c r="K961" s="4">
        <v>0.6</v>
      </c>
      <c r="L961" s="3">
        <f t="shared" si="56"/>
        <v>13958.651999999998</v>
      </c>
      <c r="M961" s="3">
        <f t="shared" si="57"/>
        <v>9305.768</v>
      </c>
      <c r="N961">
        <f t="shared" si="58"/>
        <v>10</v>
      </c>
      <c r="O961" s="3">
        <f t="shared" si="59"/>
        <v>23264.42</v>
      </c>
      <c r="P961" t="str" cm="1">
        <f t="array" ref="P961">_xlfn.IFS(C961&lt;18, "Under 18", C961&lt;36, "Btw 18&amp;35", C961&lt;51, "Btw 36&amp;50", C961&lt;66, "Btw 51&amp;65", C961&gt;=66," 66&amp;Above")</f>
        <v>Btw 51&amp;65</v>
      </c>
    </row>
    <row r="962" spans="1:16">
      <c r="A962" t="s">
        <v>1686</v>
      </c>
      <c r="B962" t="s">
        <v>175</v>
      </c>
      <c r="C962">
        <v>82</v>
      </c>
      <c r="D962" t="s">
        <v>18</v>
      </c>
      <c r="E962" s="2">
        <v>45654</v>
      </c>
      <c r="F962" s="2">
        <v>45658</v>
      </c>
      <c r="G962" t="s">
        <v>31</v>
      </c>
      <c r="H962" t="s">
        <v>53</v>
      </c>
      <c r="I962" s="3">
        <v>4983.18</v>
      </c>
      <c r="J962" t="s">
        <v>25</v>
      </c>
      <c r="K962" s="4">
        <v>0.8</v>
      </c>
      <c r="L962" s="3">
        <f t="shared" si="56"/>
        <v>3986.5440000000003</v>
      </c>
      <c r="M962" s="3">
        <f t="shared" si="57"/>
        <v>996.63599999999985</v>
      </c>
      <c r="N962">
        <f t="shared" si="58"/>
        <v>4</v>
      </c>
      <c r="O962" s="3">
        <f t="shared" si="59"/>
        <v>0</v>
      </c>
      <c r="P962" t="str" cm="1">
        <f t="array" ref="P962">_xlfn.IFS(C962&lt;18, "Under 18", C962&lt;36, "Btw 18&amp;35", C962&lt;51, "Btw 36&amp;50", C962&lt;66, "Btw 51&amp;65", C962&gt;=66," 66&amp;Above")</f>
        <v xml:space="preserve"> 66&amp;Above</v>
      </c>
    </row>
    <row r="963" spans="1:16">
      <c r="A963" t="s">
        <v>1687</v>
      </c>
      <c r="B963" t="s">
        <v>1688</v>
      </c>
      <c r="C963">
        <v>47</v>
      </c>
      <c r="D963" t="s">
        <v>18</v>
      </c>
      <c r="E963" s="2">
        <v>45735</v>
      </c>
      <c r="F963" s="2">
        <v>45741</v>
      </c>
      <c r="G963" t="s">
        <v>31</v>
      </c>
      <c r="H963" t="s">
        <v>53</v>
      </c>
      <c r="I963" s="3">
        <v>7613.41</v>
      </c>
      <c r="J963" t="s">
        <v>15</v>
      </c>
      <c r="K963" s="4">
        <v>0.9</v>
      </c>
      <c r="L963" s="3">
        <f t="shared" ref="L963:L1001" si="60">I963*K963</f>
        <v>6852.0690000000004</v>
      </c>
      <c r="M963" s="3">
        <f t="shared" ref="M963:M1001" si="61">(100%-K963)*I963</f>
        <v>761.34099999999978</v>
      </c>
      <c r="N963">
        <f t="shared" ref="N963:N1001" si="62">_xlfn.DAYS(F963,E963)</f>
        <v>6</v>
      </c>
      <c r="O963" s="3">
        <f t="shared" ref="O963:O1001" si="63">IF(J963="Paid", I963, 0)</f>
        <v>7613.41</v>
      </c>
      <c r="P963" t="str" cm="1">
        <f t="array" ref="P963">_xlfn.IFS(C963&lt;18, "Under 18", C963&lt;36, "Btw 18&amp;35", C963&lt;51, "Btw 36&amp;50", C963&lt;66, "Btw 51&amp;65", C963&gt;=66," 66&amp;Above")</f>
        <v>Btw 36&amp;50</v>
      </c>
    </row>
    <row r="964" spans="1:16">
      <c r="A964" t="s">
        <v>1689</v>
      </c>
      <c r="B964" t="s">
        <v>987</v>
      </c>
      <c r="C964">
        <v>37</v>
      </c>
      <c r="D964" t="s">
        <v>12</v>
      </c>
      <c r="E964" s="2">
        <v>45387</v>
      </c>
      <c r="F964" s="2">
        <v>45388</v>
      </c>
      <c r="G964" t="s">
        <v>23</v>
      </c>
      <c r="H964" t="s">
        <v>221</v>
      </c>
      <c r="I964" s="3">
        <v>2431.81</v>
      </c>
      <c r="J964" t="s">
        <v>15</v>
      </c>
      <c r="K964" s="4">
        <v>0.8</v>
      </c>
      <c r="L964" s="3">
        <f t="shared" si="60"/>
        <v>1945.4480000000001</v>
      </c>
      <c r="M964" s="3">
        <f t="shared" si="61"/>
        <v>486.36199999999985</v>
      </c>
      <c r="N964">
        <f t="shared" si="62"/>
        <v>1</v>
      </c>
      <c r="O964" s="3">
        <f t="shared" si="63"/>
        <v>2431.81</v>
      </c>
      <c r="P964" t="str" cm="1">
        <f t="array" ref="P964">_xlfn.IFS(C964&lt;18, "Under 18", C964&lt;36, "Btw 18&amp;35", C964&lt;51, "Btw 36&amp;50", C964&lt;66, "Btw 51&amp;65", C964&gt;=66," 66&amp;Above")</f>
        <v>Btw 36&amp;50</v>
      </c>
    </row>
    <row r="965" spans="1:16">
      <c r="A965" t="s">
        <v>1690</v>
      </c>
      <c r="B965" t="s">
        <v>1691</v>
      </c>
      <c r="C965">
        <v>61</v>
      </c>
      <c r="D965" t="s">
        <v>18</v>
      </c>
      <c r="E965" s="2">
        <v>45478</v>
      </c>
      <c r="F965" s="2">
        <v>45480</v>
      </c>
      <c r="G965" t="s">
        <v>31</v>
      </c>
      <c r="H965" t="s">
        <v>234</v>
      </c>
      <c r="I965" s="3">
        <v>1073.8900000000001</v>
      </c>
      <c r="J965" t="s">
        <v>20</v>
      </c>
      <c r="K965" s="4">
        <v>0.7</v>
      </c>
      <c r="L965" s="3">
        <f t="shared" si="60"/>
        <v>751.72300000000007</v>
      </c>
      <c r="M965" s="3">
        <f t="shared" si="61"/>
        <v>322.16700000000009</v>
      </c>
      <c r="N965">
        <f t="shared" si="62"/>
        <v>2</v>
      </c>
      <c r="O965" s="3">
        <f t="shared" si="63"/>
        <v>0</v>
      </c>
      <c r="P965" t="str" cm="1">
        <f t="array" ref="P965">_xlfn.IFS(C965&lt;18, "Under 18", C965&lt;36, "Btw 18&amp;35", C965&lt;51, "Btw 36&amp;50", C965&lt;66, "Btw 51&amp;65", C965&gt;=66," 66&amp;Above")</f>
        <v>Btw 51&amp;65</v>
      </c>
    </row>
    <row r="966" spans="1:16">
      <c r="A966" t="s">
        <v>1692</v>
      </c>
      <c r="B966" t="s">
        <v>1693</v>
      </c>
      <c r="C966">
        <v>70</v>
      </c>
      <c r="D966" t="s">
        <v>18</v>
      </c>
      <c r="E966" s="2">
        <v>45738</v>
      </c>
      <c r="F966" s="2">
        <v>45748</v>
      </c>
      <c r="G966" t="s">
        <v>13</v>
      </c>
      <c r="H966" t="s">
        <v>102</v>
      </c>
      <c r="I966" s="3">
        <v>19302.61</v>
      </c>
      <c r="J966" t="s">
        <v>25</v>
      </c>
      <c r="K966" s="4">
        <v>1</v>
      </c>
      <c r="L966" s="3">
        <f t="shared" si="60"/>
        <v>19302.61</v>
      </c>
      <c r="M966" s="3">
        <f t="shared" si="61"/>
        <v>0</v>
      </c>
      <c r="N966">
        <f t="shared" si="62"/>
        <v>10</v>
      </c>
      <c r="O966" s="3">
        <f t="shared" si="63"/>
        <v>0</v>
      </c>
      <c r="P966" t="str" cm="1">
        <f t="array" ref="P966">_xlfn.IFS(C966&lt;18, "Under 18", C966&lt;36, "Btw 18&amp;35", C966&lt;51, "Btw 36&amp;50", C966&lt;66, "Btw 51&amp;65", C966&gt;=66," 66&amp;Above")</f>
        <v xml:space="preserve"> 66&amp;Above</v>
      </c>
    </row>
    <row r="967" spans="1:16">
      <c r="A967" t="s">
        <v>1694</v>
      </c>
      <c r="B967" t="s">
        <v>1538</v>
      </c>
      <c r="C967">
        <v>68</v>
      </c>
      <c r="D967" t="s">
        <v>18</v>
      </c>
      <c r="E967" s="2">
        <v>45791</v>
      </c>
      <c r="F967" s="2">
        <v>45797</v>
      </c>
      <c r="G967" t="s">
        <v>31</v>
      </c>
      <c r="H967" t="s">
        <v>114</v>
      </c>
      <c r="I967" s="3">
        <v>4686.18</v>
      </c>
      <c r="J967" t="s">
        <v>15</v>
      </c>
      <c r="K967" s="4">
        <v>1</v>
      </c>
      <c r="L967" s="3">
        <f t="shared" si="60"/>
        <v>4686.18</v>
      </c>
      <c r="M967" s="3">
        <f t="shared" si="61"/>
        <v>0</v>
      </c>
      <c r="N967">
        <f t="shared" si="62"/>
        <v>6</v>
      </c>
      <c r="O967" s="3">
        <f t="shared" si="63"/>
        <v>4686.18</v>
      </c>
      <c r="P967" t="str" cm="1">
        <f t="array" ref="P967">_xlfn.IFS(C967&lt;18, "Under 18", C967&lt;36, "Btw 18&amp;35", C967&lt;51, "Btw 36&amp;50", C967&lt;66, "Btw 51&amp;65", C967&gt;=66," 66&amp;Above")</f>
        <v xml:space="preserve"> 66&amp;Above</v>
      </c>
    </row>
    <row r="968" spans="1:16">
      <c r="A968" t="s">
        <v>1695</v>
      </c>
      <c r="B968" t="s">
        <v>1696</v>
      </c>
      <c r="C968">
        <v>7</v>
      </c>
      <c r="D968" t="s">
        <v>18</v>
      </c>
      <c r="E968" s="2">
        <v>45923</v>
      </c>
      <c r="F968" s="2">
        <v>45926</v>
      </c>
      <c r="G968" t="s">
        <v>49</v>
      </c>
      <c r="H968" t="s">
        <v>378</v>
      </c>
      <c r="I968" s="3">
        <v>3301.8</v>
      </c>
      <c r="J968" t="s">
        <v>25</v>
      </c>
      <c r="K968" s="4">
        <v>0.7</v>
      </c>
      <c r="L968" s="3">
        <f t="shared" si="60"/>
        <v>2311.2599999999998</v>
      </c>
      <c r="M968" s="3">
        <f t="shared" si="61"/>
        <v>990.54000000000019</v>
      </c>
      <c r="N968">
        <f t="shared" si="62"/>
        <v>3</v>
      </c>
      <c r="O968" s="3">
        <f t="shared" si="63"/>
        <v>0</v>
      </c>
      <c r="P968" t="str" cm="1">
        <f t="array" ref="P968">_xlfn.IFS(C968&lt;18, "Under 18", C968&lt;36, "Btw 18&amp;35", C968&lt;51, "Btw 36&amp;50", C968&lt;66, "Btw 51&amp;65", C968&gt;=66," 66&amp;Above")</f>
        <v>Under 18</v>
      </c>
    </row>
    <row r="969" spans="1:16">
      <c r="A969" t="s">
        <v>1697</v>
      </c>
      <c r="B969" t="s">
        <v>392</v>
      </c>
      <c r="C969">
        <v>57</v>
      </c>
      <c r="D969" t="s">
        <v>18</v>
      </c>
      <c r="E969" s="2">
        <v>45596</v>
      </c>
      <c r="F969" s="2">
        <v>45599</v>
      </c>
      <c r="G969" t="s">
        <v>60</v>
      </c>
      <c r="H969" t="s">
        <v>61</v>
      </c>
      <c r="I969" s="3">
        <v>5980.45</v>
      </c>
      <c r="J969" t="s">
        <v>15</v>
      </c>
      <c r="K969" s="4">
        <v>1</v>
      </c>
      <c r="L969" s="3">
        <f t="shared" si="60"/>
        <v>5980.45</v>
      </c>
      <c r="M969" s="3">
        <f t="shared" si="61"/>
        <v>0</v>
      </c>
      <c r="N969">
        <f t="shared" si="62"/>
        <v>3</v>
      </c>
      <c r="O969" s="3">
        <f t="shared" si="63"/>
        <v>5980.45</v>
      </c>
      <c r="P969" t="str" cm="1">
        <f t="array" ref="P969">_xlfn.IFS(C969&lt;18, "Under 18", C969&lt;36, "Btw 18&amp;35", C969&lt;51, "Btw 36&amp;50", C969&lt;66, "Btw 51&amp;65", C969&gt;=66," 66&amp;Above")</f>
        <v>Btw 51&amp;65</v>
      </c>
    </row>
    <row r="970" spans="1:16">
      <c r="A970" t="s">
        <v>1698</v>
      </c>
      <c r="B970" t="s">
        <v>1699</v>
      </c>
      <c r="C970">
        <v>34</v>
      </c>
      <c r="D970" t="s">
        <v>18</v>
      </c>
      <c r="E970" s="2">
        <v>45932</v>
      </c>
      <c r="F970" s="2">
        <v>45936</v>
      </c>
      <c r="G970" t="s">
        <v>31</v>
      </c>
      <c r="H970" t="s">
        <v>53</v>
      </c>
      <c r="I970" s="3">
        <v>5054.45</v>
      </c>
      <c r="J970" t="s">
        <v>20</v>
      </c>
      <c r="K970" s="4">
        <v>0.6</v>
      </c>
      <c r="L970" s="3">
        <f t="shared" si="60"/>
        <v>3032.6699999999996</v>
      </c>
      <c r="M970" s="3">
        <f t="shared" si="61"/>
        <v>2021.78</v>
      </c>
      <c r="N970">
        <f t="shared" si="62"/>
        <v>4</v>
      </c>
      <c r="O970" s="3">
        <f t="shared" si="63"/>
        <v>0</v>
      </c>
      <c r="P970" t="str" cm="1">
        <f t="array" ref="P970">_xlfn.IFS(C970&lt;18, "Under 18", C970&lt;36, "Btw 18&amp;35", C970&lt;51, "Btw 36&amp;50", C970&lt;66, "Btw 51&amp;65", C970&gt;=66," 66&amp;Above")</f>
        <v>Btw 18&amp;35</v>
      </c>
    </row>
    <row r="971" spans="1:16">
      <c r="A971" t="s">
        <v>1700</v>
      </c>
      <c r="B971" t="s">
        <v>1701</v>
      </c>
      <c r="C971">
        <v>52</v>
      </c>
      <c r="D971" t="s">
        <v>12</v>
      </c>
      <c r="E971" s="2">
        <v>45876</v>
      </c>
      <c r="F971" s="2">
        <v>45878</v>
      </c>
      <c r="G971" t="s">
        <v>23</v>
      </c>
      <c r="H971" t="s">
        <v>204</v>
      </c>
      <c r="I971" s="3">
        <v>3102.51</v>
      </c>
      <c r="J971" t="s">
        <v>15</v>
      </c>
      <c r="K971" s="4">
        <v>0.9</v>
      </c>
      <c r="L971" s="3">
        <f t="shared" si="60"/>
        <v>2792.2590000000005</v>
      </c>
      <c r="M971" s="3">
        <f t="shared" si="61"/>
        <v>310.25099999999998</v>
      </c>
      <c r="N971">
        <f t="shared" si="62"/>
        <v>2</v>
      </c>
      <c r="O971" s="3">
        <f t="shared" si="63"/>
        <v>3102.51</v>
      </c>
      <c r="P971" t="str" cm="1">
        <f t="array" ref="P971">_xlfn.IFS(C971&lt;18, "Under 18", C971&lt;36, "Btw 18&amp;35", C971&lt;51, "Btw 36&amp;50", C971&lt;66, "Btw 51&amp;65", C971&gt;=66," 66&amp;Above")</f>
        <v>Btw 51&amp;65</v>
      </c>
    </row>
    <row r="972" spans="1:16">
      <c r="A972" t="s">
        <v>1702</v>
      </c>
      <c r="B972" t="s">
        <v>496</v>
      </c>
      <c r="C972">
        <v>66</v>
      </c>
      <c r="D972" t="s">
        <v>12</v>
      </c>
      <c r="E972" s="2">
        <v>45669</v>
      </c>
      <c r="F972" s="2">
        <v>45676</v>
      </c>
      <c r="G972" t="s">
        <v>60</v>
      </c>
      <c r="H972" t="s">
        <v>97</v>
      </c>
      <c r="I972" s="3">
        <v>7068.71</v>
      </c>
      <c r="J972" t="s">
        <v>25</v>
      </c>
      <c r="K972" s="4">
        <v>0.7</v>
      </c>
      <c r="L972" s="3">
        <f t="shared" si="60"/>
        <v>4948.0969999999998</v>
      </c>
      <c r="M972" s="3">
        <f t="shared" si="61"/>
        <v>2120.6130000000003</v>
      </c>
      <c r="N972">
        <f t="shared" si="62"/>
        <v>7</v>
      </c>
      <c r="O972" s="3">
        <f t="shared" si="63"/>
        <v>0</v>
      </c>
      <c r="P972" t="str" cm="1">
        <f t="array" ref="P972">_xlfn.IFS(C972&lt;18, "Under 18", C972&lt;36, "Btw 18&amp;35", C972&lt;51, "Btw 36&amp;50", C972&lt;66, "Btw 51&amp;65", C972&gt;=66," 66&amp;Above")</f>
        <v xml:space="preserve"> 66&amp;Above</v>
      </c>
    </row>
    <row r="973" spans="1:16">
      <c r="A973" t="s">
        <v>1703</v>
      </c>
      <c r="B973" t="s">
        <v>1704</v>
      </c>
      <c r="C973">
        <v>59</v>
      </c>
      <c r="D973" t="s">
        <v>12</v>
      </c>
      <c r="E973" s="2">
        <v>45376</v>
      </c>
      <c r="F973" s="2">
        <v>45380</v>
      </c>
      <c r="G973" t="s">
        <v>60</v>
      </c>
      <c r="H973" t="s">
        <v>74</v>
      </c>
      <c r="I973" s="3">
        <v>7018.51</v>
      </c>
      <c r="J973" t="s">
        <v>15</v>
      </c>
      <c r="K973" s="4">
        <v>0.8</v>
      </c>
      <c r="L973" s="3">
        <f t="shared" si="60"/>
        <v>5614.8080000000009</v>
      </c>
      <c r="M973" s="3">
        <f t="shared" si="61"/>
        <v>1403.7019999999998</v>
      </c>
      <c r="N973">
        <f t="shared" si="62"/>
        <v>4</v>
      </c>
      <c r="O973" s="3">
        <f t="shared" si="63"/>
        <v>7018.51</v>
      </c>
      <c r="P973" t="str" cm="1">
        <f t="array" ref="P973">_xlfn.IFS(C973&lt;18, "Under 18", C973&lt;36, "Btw 18&amp;35", C973&lt;51, "Btw 36&amp;50", C973&lt;66, "Btw 51&amp;65", C973&gt;=66," 66&amp;Above")</f>
        <v>Btw 51&amp;65</v>
      </c>
    </row>
    <row r="974" spans="1:16">
      <c r="A974" t="s">
        <v>1705</v>
      </c>
      <c r="B974" t="s">
        <v>1706</v>
      </c>
      <c r="C974">
        <v>17</v>
      </c>
      <c r="D974" t="s">
        <v>18</v>
      </c>
      <c r="E974" s="2">
        <v>45625</v>
      </c>
      <c r="F974" s="2">
        <v>45626</v>
      </c>
      <c r="G974" t="s">
        <v>49</v>
      </c>
      <c r="H974" t="s">
        <v>120</v>
      </c>
      <c r="I974" s="3">
        <v>895.4</v>
      </c>
      <c r="J974" t="s">
        <v>20</v>
      </c>
      <c r="K974" s="4">
        <v>0.7</v>
      </c>
      <c r="L974" s="3">
        <f t="shared" si="60"/>
        <v>626.78</v>
      </c>
      <c r="M974" s="3">
        <f t="shared" si="61"/>
        <v>268.62</v>
      </c>
      <c r="N974">
        <f t="shared" si="62"/>
        <v>1</v>
      </c>
      <c r="O974" s="3">
        <f t="shared" si="63"/>
        <v>0</v>
      </c>
      <c r="P974" t="str" cm="1">
        <f t="array" ref="P974">_xlfn.IFS(C974&lt;18, "Under 18", C974&lt;36, "Btw 18&amp;35", C974&lt;51, "Btw 36&amp;50", C974&lt;66, "Btw 51&amp;65", C974&gt;=66," 66&amp;Above")</f>
        <v>Under 18</v>
      </c>
    </row>
    <row r="975" spans="1:16">
      <c r="A975" t="s">
        <v>1707</v>
      </c>
      <c r="B975" t="s">
        <v>1530</v>
      </c>
      <c r="C975">
        <v>25</v>
      </c>
      <c r="D975" t="s">
        <v>18</v>
      </c>
      <c r="E975" s="2">
        <v>45853</v>
      </c>
      <c r="F975" s="2">
        <v>45858</v>
      </c>
      <c r="G975" t="s">
        <v>31</v>
      </c>
      <c r="H975" t="s">
        <v>44</v>
      </c>
      <c r="I975" s="3">
        <v>5857.12</v>
      </c>
      <c r="J975" t="s">
        <v>15</v>
      </c>
      <c r="K975" s="4">
        <v>0.7</v>
      </c>
      <c r="L975" s="3">
        <f t="shared" si="60"/>
        <v>4099.9839999999995</v>
      </c>
      <c r="M975" s="3">
        <f t="shared" si="61"/>
        <v>1757.1360000000002</v>
      </c>
      <c r="N975">
        <f t="shared" si="62"/>
        <v>5</v>
      </c>
      <c r="O975" s="3">
        <f t="shared" si="63"/>
        <v>5857.12</v>
      </c>
      <c r="P975" t="str" cm="1">
        <f t="array" ref="P975">_xlfn.IFS(C975&lt;18, "Under 18", C975&lt;36, "Btw 18&amp;35", C975&lt;51, "Btw 36&amp;50", C975&lt;66, "Btw 51&amp;65", C975&gt;=66," 66&amp;Above")</f>
        <v>Btw 18&amp;35</v>
      </c>
    </row>
    <row r="976" spans="1:16">
      <c r="A976" t="s">
        <v>1708</v>
      </c>
      <c r="B976" t="s">
        <v>478</v>
      </c>
      <c r="C976">
        <v>22</v>
      </c>
      <c r="D976" t="s">
        <v>18</v>
      </c>
      <c r="E976" s="2">
        <v>45923</v>
      </c>
      <c r="F976" s="2">
        <v>45926</v>
      </c>
      <c r="G976" t="s">
        <v>23</v>
      </c>
      <c r="H976" t="s">
        <v>82</v>
      </c>
      <c r="I976" s="3">
        <v>5212.57</v>
      </c>
      <c r="J976" t="s">
        <v>15</v>
      </c>
      <c r="K976" s="4">
        <v>0.9</v>
      </c>
      <c r="L976" s="3">
        <f t="shared" si="60"/>
        <v>4691.3130000000001</v>
      </c>
      <c r="M976" s="3">
        <f t="shared" si="61"/>
        <v>521.25699999999983</v>
      </c>
      <c r="N976">
        <f t="shared" si="62"/>
        <v>3</v>
      </c>
      <c r="O976" s="3">
        <f t="shared" si="63"/>
        <v>5212.57</v>
      </c>
      <c r="P976" t="str" cm="1">
        <f t="array" ref="P976">_xlfn.IFS(C976&lt;18, "Under 18", C976&lt;36, "Btw 18&amp;35", C976&lt;51, "Btw 36&amp;50", C976&lt;66, "Btw 51&amp;65", C976&gt;=66," 66&amp;Above")</f>
        <v>Btw 18&amp;35</v>
      </c>
    </row>
    <row r="977" spans="1:16">
      <c r="A977" t="s">
        <v>1709</v>
      </c>
      <c r="B977" t="s">
        <v>280</v>
      </c>
      <c r="C977">
        <v>73</v>
      </c>
      <c r="D977" t="s">
        <v>12</v>
      </c>
      <c r="E977" s="2">
        <v>45654</v>
      </c>
      <c r="F977" s="2">
        <v>45661</v>
      </c>
      <c r="G977" t="s">
        <v>13</v>
      </c>
      <c r="H977" t="s">
        <v>165</v>
      </c>
      <c r="I977" s="3">
        <v>18256.04</v>
      </c>
      <c r="J977" t="s">
        <v>20</v>
      </c>
      <c r="K977" s="4">
        <v>0.7</v>
      </c>
      <c r="L977" s="3">
        <f t="shared" si="60"/>
        <v>12779.227999999999</v>
      </c>
      <c r="M977" s="3">
        <f t="shared" si="61"/>
        <v>5476.8120000000008</v>
      </c>
      <c r="N977">
        <f t="shared" si="62"/>
        <v>7</v>
      </c>
      <c r="O977" s="3">
        <f t="shared" si="63"/>
        <v>0</v>
      </c>
      <c r="P977" t="str" cm="1">
        <f t="array" ref="P977">_xlfn.IFS(C977&lt;18, "Under 18", C977&lt;36, "Btw 18&amp;35", C977&lt;51, "Btw 36&amp;50", C977&lt;66, "Btw 51&amp;65", C977&gt;=66," 66&amp;Above")</f>
        <v xml:space="preserve"> 66&amp;Above</v>
      </c>
    </row>
    <row r="978" spans="1:16">
      <c r="A978" t="s">
        <v>1710</v>
      </c>
      <c r="B978" t="s">
        <v>1711</v>
      </c>
      <c r="C978">
        <v>40</v>
      </c>
      <c r="D978" t="s">
        <v>18</v>
      </c>
      <c r="E978" s="2">
        <v>45751</v>
      </c>
      <c r="F978" s="2">
        <v>45761</v>
      </c>
      <c r="G978" t="s">
        <v>13</v>
      </c>
      <c r="H978" t="s">
        <v>14</v>
      </c>
      <c r="I978" s="3">
        <v>22950.92</v>
      </c>
      <c r="J978" t="s">
        <v>15</v>
      </c>
      <c r="K978" s="4">
        <v>0.8</v>
      </c>
      <c r="L978" s="3">
        <f t="shared" si="60"/>
        <v>18360.736000000001</v>
      </c>
      <c r="M978" s="3">
        <f t="shared" si="61"/>
        <v>4590.1839999999984</v>
      </c>
      <c r="N978">
        <f t="shared" si="62"/>
        <v>10</v>
      </c>
      <c r="O978" s="3">
        <f t="shared" si="63"/>
        <v>22950.92</v>
      </c>
      <c r="P978" t="str" cm="1">
        <f t="array" ref="P978">_xlfn.IFS(C978&lt;18, "Under 18", C978&lt;36, "Btw 18&amp;35", C978&lt;51, "Btw 36&amp;50", C978&lt;66, "Btw 51&amp;65", C978&gt;=66," 66&amp;Above")</f>
        <v>Btw 36&amp;50</v>
      </c>
    </row>
    <row r="979" spans="1:16">
      <c r="A979" t="s">
        <v>1712</v>
      </c>
      <c r="B979" t="s">
        <v>189</v>
      </c>
      <c r="C979">
        <v>65</v>
      </c>
      <c r="D979" t="s">
        <v>12</v>
      </c>
      <c r="E979" s="2">
        <v>45649</v>
      </c>
      <c r="F979" s="2">
        <v>45656</v>
      </c>
      <c r="G979" t="s">
        <v>31</v>
      </c>
      <c r="H979" t="s">
        <v>114</v>
      </c>
      <c r="I979" s="3">
        <v>9174.23</v>
      </c>
      <c r="J979" t="s">
        <v>25</v>
      </c>
      <c r="K979" s="4">
        <v>0.6</v>
      </c>
      <c r="L979" s="3">
        <f t="shared" si="60"/>
        <v>5504.5379999999996</v>
      </c>
      <c r="M979" s="3">
        <f t="shared" si="61"/>
        <v>3669.692</v>
      </c>
      <c r="N979">
        <f t="shared" si="62"/>
        <v>7</v>
      </c>
      <c r="O979" s="3">
        <f t="shared" si="63"/>
        <v>0</v>
      </c>
      <c r="P979" t="str" cm="1">
        <f t="array" ref="P979">_xlfn.IFS(C979&lt;18, "Under 18", C979&lt;36, "Btw 18&amp;35", C979&lt;51, "Btw 36&amp;50", C979&lt;66, "Btw 51&amp;65", C979&gt;=66," 66&amp;Above")</f>
        <v>Btw 51&amp;65</v>
      </c>
    </row>
    <row r="980" spans="1:16">
      <c r="A980" t="s">
        <v>1713</v>
      </c>
      <c r="B980" t="s">
        <v>129</v>
      </c>
      <c r="C980">
        <v>18</v>
      </c>
      <c r="D980" t="s">
        <v>18</v>
      </c>
      <c r="E980" s="2">
        <v>45900</v>
      </c>
      <c r="F980" s="2">
        <v>45903</v>
      </c>
      <c r="G980" t="s">
        <v>31</v>
      </c>
      <c r="H980" t="s">
        <v>234</v>
      </c>
      <c r="I980" s="3">
        <v>2502.7600000000002</v>
      </c>
      <c r="J980" t="s">
        <v>15</v>
      </c>
      <c r="K980" s="4">
        <v>0.8</v>
      </c>
      <c r="L980" s="3">
        <f t="shared" si="60"/>
        <v>2002.2080000000003</v>
      </c>
      <c r="M980" s="3">
        <f t="shared" si="61"/>
        <v>500.55199999999991</v>
      </c>
      <c r="N980">
        <f t="shared" si="62"/>
        <v>3</v>
      </c>
      <c r="O980" s="3">
        <f t="shared" si="63"/>
        <v>2502.7600000000002</v>
      </c>
      <c r="P980" t="str" cm="1">
        <f t="array" ref="P980">_xlfn.IFS(C980&lt;18, "Under 18", C980&lt;36, "Btw 18&amp;35", C980&lt;51, "Btw 36&amp;50", C980&lt;66, "Btw 51&amp;65", C980&gt;=66," 66&amp;Above")</f>
        <v>Btw 18&amp;35</v>
      </c>
    </row>
    <row r="981" spans="1:16">
      <c r="A981" t="s">
        <v>1714</v>
      </c>
      <c r="B981" t="s">
        <v>406</v>
      </c>
      <c r="C981">
        <v>43</v>
      </c>
      <c r="D981" t="s">
        <v>12</v>
      </c>
      <c r="E981" s="2">
        <v>45929</v>
      </c>
      <c r="F981" s="2">
        <v>45932</v>
      </c>
      <c r="G981" t="s">
        <v>23</v>
      </c>
      <c r="H981" t="s">
        <v>204</v>
      </c>
      <c r="I981" s="3">
        <v>6927.74</v>
      </c>
      <c r="J981" t="s">
        <v>15</v>
      </c>
      <c r="K981" s="4">
        <v>0.9</v>
      </c>
      <c r="L981" s="3">
        <f t="shared" si="60"/>
        <v>6234.9660000000003</v>
      </c>
      <c r="M981" s="3">
        <f t="shared" si="61"/>
        <v>692.77399999999977</v>
      </c>
      <c r="N981">
        <f t="shared" si="62"/>
        <v>3</v>
      </c>
      <c r="O981" s="3">
        <f t="shared" si="63"/>
        <v>6927.74</v>
      </c>
      <c r="P981" t="str" cm="1">
        <f t="array" ref="P981">_xlfn.IFS(C981&lt;18, "Under 18", C981&lt;36, "Btw 18&amp;35", C981&lt;51, "Btw 36&amp;50", C981&lt;66, "Btw 51&amp;65", C981&gt;=66," 66&amp;Above")</f>
        <v>Btw 36&amp;50</v>
      </c>
    </row>
    <row r="982" spans="1:16">
      <c r="A982" t="s">
        <v>1715</v>
      </c>
      <c r="B982" t="s">
        <v>693</v>
      </c>
      <c r="C982">
        <v>54</v>
      </c>
      <c r="D982" t="s">
        <v>18</v>
      </c>
      <c r="E982" s="2">
        <v>45539</v>
      </c>
      <c r="F982" s="2">
        <v>45544</v>
      </c>
      <c r="G982" t="s">
        <v>31</v>
      </c>
      <c r="H982" t="s">
        <v>44</v>
      </c>
      <c r="I982" s="3">
        <v>4663.1899999999996</v>
      </c>
      <c r="J982" t="s">
        <v>15</v>
      </c>
      <c r="K982" s="4">
        <v>0.8</v>
      </c>
      <c r="L982" s="3">
        <f t="shared" si="60"/>
        <v>3730.5519999999997</v>
      </c>
      <c r="M982" s="3">
        <f t="shared" si="61"/>
        <v>932.63799999999969</v>
      </c>
      <c r="N982">
        <f t="shared" si="62"/>
        <v>5</v>
      </c>
      <c r="O982" s="3">
        <f t="shared" si="63"/>
        <v>4663.1899999999996</v>
      </c>
      <c r="P982" t="str" cm="1">
        <f t="array" ref="P982">_xlfn.IFS(C982&lt;18, "Under 18", C982&lt;36, "Btw 18&amp;35", C982&lt;51, "Btw 36&amp;50", C982&lt;66, "Btw 51&amp;65", C982&gt;=66," 66&amp;Above")</f>
        <v>Btw 51&amp;65</v>
      </c>
    </row>
    <row r="983" spans="1:16">
      <c r="A983" t="s">
        <v>1716</v>
      </c>
      <c r="B983" t="s">
        <v>1717</v>
      </c>
      <c r="C983">
        <v>55</v>
      </c>
      <c r="D983" t="s">
        <v>18</v>
      </c>
      <c r="E983" s="2">
        <v>45596</v>
      </c>
      <c r="F983" s="2">
        <v>45604</v>
      </c>
      <c r="G983" t="s">
        <v>60</v>
      </c>
      <c r="H983" t="s">
        <v>61</v>
      </c>
      <c r="I983" s="3">
        <v>20435.29</v>
      </c>
      <c r="J983" t="s">
        <v>25</v>
      </c>
      <c r="K983" s="4">
        <v>0.7</v>
      </c>
      <c r="L983" s="3">
        <f t="shared" si="60"/>
        <v>14304.703</v>
      </c>
      <c r="M983" s="3">
        <f t="shared" si="61"/>
        <v>6130.5870000000014</v>
      </c>
      <c r="N983">
        <f t="shared" si="62"/>
        <v>8</v>
      </c>
      <c r="O983" s="3">
        <f t="shared" si="63"/>
        <v>0</v>
      </c>
      <c r="P983" t="str" cm="1">
        <f t="array" ref="P983">_xlfn.IFS(C983&lt;18, "Under 18", C983&lt;36, "Btw 18&amp;35", C983&lt;51, "Btw 36&amp;50", C983&lt;66, "Btw 51&amp;65", C983&gt;=66," 66&amp;Above")</f>
        <v>Btw 51&amp;65</v>
      </c>
    </row>
    <row r="984" spans="1:16">
      <c r="A984" t="s">
        <v>1718</v>
      </c>
      <c r="B984" t="s">
        <v>386</v>
      </c>
      <c r="C984">
        <v>81</v>
      </c>
      <c r="D984" t="s">
        <v>18</v>
      </c>
      <c r="E984" s="2">
        <v>46009</v>
      </c>
      <c r="F984" s="2">
        <v>46011</v>
      </c>
      <c r="G984" t="s">
        <v>31</v>
      </c>
      <c r="H984" t="s">
        <v>44</v>
      </c>
      <c r="I984" s="3">
        <v>1278.31</v>
      </c>
      <c r="J984" t="s">
        <v>20</v>
      </c>
      <c r="K984" s="4">
        <v>0.6</v>
      </c>
      <c r="L984" s="3">
        <f t="shared" si="60"/>
        <v>766.98599999999999</v>
      </c>
      <c r="M984" s="3">
        <f t="shared" si="61"/>
        <v>511.32400000000001</v>
      </c>
      <c r="N984">
        <f t="shared" si="62"/>
        <v>2</v>
      </c>
      <c r="O984" s="3">
        <f t="shared" si="63"/>
        <v>0</v>
      </c>
      <c r="P984" t="str" cm="1">
        <f t="array" ref="P984">_xlfn.IFS(C984&lt;18, "Under 18", C984&lt;36, "Btw 18&amp;35", C984&lt;51, "Btw 36&amp;50", C984&lt;66, "Btw 51&amp;65", C984&gt;=66," 66&amp;Above")</f>
        <v xml:space="preserve"> 66&amp;Above</v>
      </c>
    </row>
    <row r="985" spans="1:16">
      <c r="A985" t="s">
        <v>1719</v>
      </c>
      <c r="B985" t="s">
        <v>1059</v>
      </c>
      <c r="C985">
        <v>44</v>
      </c>
      <c r="D985" t="s">
        <v>12</v>
      </c>
      <c r="E985" s="2">
        <v>45675</v>
      </c>
      <c r="F985" s="2">
        <v>45678</v>
      </c>
      <c r="G985" t="s">
        <v>23</v>
      </c>
      <c r="H985" t="s">
        <v>221</v>
      </c>
      <c r="I985" s="3">
        <v>6875.52</v>
      </c>
      <c r="J985" t="s">
        <v>15</v>
      </c>
      <c r="K985" s="4">
        <v>0.7</v>
      </c>
      <c r="L985" s="3">
        <f t="shared" si="60"/>
        <v>4812.8639999999996</v>
      </c>
      <c r="M985" s="3">
        <f t="shared" si="61"/>
        <v>2062.6560000000004</v>
      </c>
      <c r="N985">
        <f t="shared" si="62"/>
        <v>3</v>
      </c>
      <c r="O985" s="3">
        <f t="shared" si="63"/>
        <v>6875.52</v>
      </c>
      <c r="P985" t="str" cm="1">
        <f t="array" ref="P985">_xlfn.IFS(C985&lt;18, "Under 18", C985&lt;36, "Btw 18&amp;35", C985&lt;51, "Btw 36&amp;50", C985&lt;66, "Btw 51&amp;65", C985&gt;=66," 66&amp;Above")</f>
        <v>Btw 36&amp;50</v>
      </c>
    </row>
    <row r="986" spans="1:16">
      <c r="A986" t="s">
        <v>1720</v>
      </c>
      <c r="B986" t="s">
        <v>1418</v>
      </c>
      <c r="C986">
        <v>57</v>
      </c>
      <c r="D986" t="s">
        <v>18</v>
      </c>
      <c r="E986" s="2">
        <v>45515</v>
      </c>
      <c r="F986" s="2">
        <v>45521</v>
      </c>
      <c r="G986" t="s">
        <v>70</v>
      </c>
      <c r="H986" t="s">
        <v>157</v>
      </c>
      <c r="I986" s="3">
        <v>14894.02</v>
      </c>
      <c r="J986" t="s">
        <v>15</v>
      </c>
      <c r="K986" s="4">
        <v>0.6</v>
      </c>
      <c r="L986" s="3">
        <f t="shared" si="60"/>
        <v>8936.4120000000003</v>
      </c>
      <c r="M986" s="3">
        <f t="shared" si="61"/>
        <v>5957.6080000000002</v>
      </c>
      <c r="N986">
        <f t="shared" si="62"/>
        <v>6</v>
      </c>
      <c r="O986" s="3">
        <f t="shared" si="63"/>
        <v>14894.02</v>
      </c>
      <c r="P986" t="str" cm="1">
        <f t="array" ref="P986">_xlfn.IFS(C986&lt;18, "Under 18", C986&lt;36, "Btw 18&amp;35", C986&lt;51, "Btw 36&amp;50", C986&lt;66, "Btw 51&amp;65", C986&gt;=66," 66&amp;Above")</f>
        <v>Btw 51&amp;65</v>
      </c>
    </row>
    <row r="987" spans="1:16">
      <c r="A987" t="s">
        <v>1721</v>
      </c>
      <c r="B987" t="s">
        <v>1163</v>
      </c>
      <c r="C987">
        <v>55</v>
      </c>
      <c r="D987" t="s">
        <v>18</v>
      </c>
      <c r="E987" s="2">
        <v>45817</v>
      </c>
      <c r="F987" s="2">
        <v>45825</v>
      </c>
      <c r="G987" t="s">
        <v>60</v>
      </c>
      <c r="H987" t="s">
        <v>142</v>
      </c>
      <c r="I987" s="3">
        <v>16185.6</v>
      </c>
      <c r="J987" t="s">
        <v>15</v>
      </c>
      <c r="K987" s="4">
        <v>1</v>
      </c>
      <c r="L987" s="3">
        <f t="shared" si="60"/>
        <v>16185.6</v>
      </c>
      <c r="M987" s="3">
        <f t="shared" si="61"/>
        <v>0</v>
      </c>
      <c r="N987">
        <f t="shared" si="62"/>
        <v>8</v>
      </c>
      <c r="O987" s="3">
        <f t="shared" si="63"/>
        <v>16185.6</v>
      </c>
      <c r="P987" t="str" cm="1">
        <f t="array" ref="P987">_xlfn.IFS(C987&lt;18, "Under 18", C987&lt;36, "Btw 18&amp;35", C987&lt;51, "Btw 36&amp;50", C987&lt;66, "Btw 51&amp;65", C987&gt;=66," 66&amp;Above")</f>
        <v>Btw 51&amp;65</v>
      </c>
    </row>
    <row r="988" spans="1:16">
      <c r="A988" t="s">
        <v>1722</v>
      </c>
      <c r="B988" t="s">
        <v>1355</v>
      </c>
      <c r="C988">
        <v>64</v>
      </c>
      <c r="D988" t="s">
        <v>18</v>
      </c>
      <c r="E988" s="2">
        <v>45540</v>
      </c>
      <c r="F988" s="2">
        <v>45544</v>
      </c>
      <c r="G988" t="s">
        <v>31</v>
      </c>
      <c r="H988" t="s">
        <v>35</v>
      </c>
      <c r="I988" s="3">
        <v>4017.98</v>
      </c>
      <c r="J988" t="s">
        <v>15</v>
      </c>
      <c r="K988" s="4">
        <v>1</v>
      </c>
      <c r="L988" s="3">
        <f t="shared" si="60"/>
        <v>4017.98</v>
      </c>
      <c r="M988" s="3">
        <f t="shared" si="61"/>
        <v>0</v>
      </c>
      <c r="N988">
        <f t="shared" si="62"/>
        <v>4</v>
      </c>
      <c r="O988" s="3">
        <f t="shared" si="63"/>
        <v>4017.98</v>
      </c>
      <c r="P988" t="str" cm="1">
        <f t="array" ref="P988">_xlfn.IFS(C988&lt;18, "Under 18", C988&lt;36, "Btw 18&amp;35", C988&lt;51, "Btw 36&amp;50", C988&lt;66, "Btw 51&amp;65", C988&gt;=66," 66&amp;Above")</f>
        <v>Btw 51&amp;65</v>
      </c>
    </row>
    <row r="989" spans="1:16">
      <c r="A989" t="s">
        <v>1723</v>
      </c>
      <c r="B989" t="s">
        <v>1724</v>
      </c>
      <c r="C989">
        <v>1</v>
      </c>
      <c r="D989" t="s">
        <v>18</v>
      </c>
      <c r="E989" s="2">
        <v>45893</v>
      </c>
      <c r="F989" s="2">
        <v>45895</v>
      </c>
      <c r="G989" t="s">
        <v>49</v>
      </c>
      <c r="H989" t="s">
        <v>123</v>
      </c>
      <c r="I989" s="3">
        <v>1260.77</v>
      </c>
      <c r="J989" t="s">
        <v>20</v>
      </c>
      <c r="K989" s="4">
        <v>0.8</v>
      </c>
      <c r="L989" s="3">
        <f t="shared" si="60"/>
        <v>1008.616</v>
      </c>
      <c r="M989" s="3">
        <f t="shared" si="61"/>
        <v>252.15399999999994</v>
      </c>
      <c r="N989">
        <f t="shared" si="62"/>
        <v>2</v>
      </c>
      <c r="O989" s="3">
        <f t="shared" si="63"/>
        <v>0</v>
      </c>
      <c r="P989" t="str" cm="1">
        <f t="array" ref="P989">_xlfn.IFS(C989&lt;18, "Under 18", C989&lt;36, "Btw 18&amp;35", C989&lt;51, "Btw 36&amp;50", C989&lt;66, "Btw 51&amp;65", C989&gt;=66," 66&amp;Above")</f>
        <v>Under 18</v>
      </c>
    </row>
    <row r="990" spans="1:16">
      <c r="A990" t="s">
        <v>1725</v>
      </c>
      <c r="B990" t="s">
        <v>1726</v>
      </c>
      <c r="C990">
        <v>14</v>
      </c>
      <c r="D990" t="s">
        <v>18</v>
      </c>
      <c r="E990" s="2">
        <v>45923</v>
      </c>
      <c r="F990" s="2">
        <v>45925</v>
      </c>
      <c r="G990" t="s">
        <v>49</v>
      </c>
      <c r="H990" t="s">
        <v>378</v>
      </c>
      <c r="I990" s="3">
        <v>2626.23</v>
      </c>
      <c r="J990" t="s">
        <v>20</v>
      </c>
      <c r="K990" s="4">
        <v>0.6</v>
      </c>
      <c r="L990" s="3">
        <f t="shared" si="60"/>
        <v>1575.7380000000001</v>
      </c>
      <c r="M990" s="3">
        <f t="shared" si="61"/>
        <v>1050.492</v>
      </c>
      <c r="N990">
        <f t="shared" si="62"/>
        <v>2</v>
      </c>
      <c r="O990" s="3">
        <f t="shared" si="63"/>
        <v>0</v>
      </c>
      <c r="P990" t="str" cm="1">
        <f t="array" ref="P990">_xlfn.IFS(C990&lt;18, "Under 18", C990&lt;36, "Btw 18&amp;35", C990&lt;51, "Btw 36&amp;50", C990&lt;66, "Btw 51&amp;65", C990&gt;=66," 66&amp;Above")</f>
        <v>Under 18</v>
      </c>
    </row>
    <row r="991" spans="1:16">
      <c r="A991" t="s">
        <v>1727</v>
      </c>
      <c r="B991" t="s">
        <v>1728</v>
      </c>
      <c r="C991">
        <v>14</v>
      </c>
      <c r="D991" t="s">
        <v>12</v>
      </c>
      <c r="E991" s="2">
        <v>45484</v>
      </c>
      <c r="F991" s="2">
        <v>45485</v>
      </c>
      <c r="G991" t="s">
        <v>49</v>
      </c>
      <c r="H991" t="s">
        <v>117</v>
      </c>
      <c r="I991" s="3">
        <v>713.28</v>
      </c>
      <c r="J991" t="s">
        <v>25</v>
      </c>
      <c r="K991" s="4">
        <v>0</v>
      </c>
      <c r="L991" s="3">
        <f t="shared" si="60"/>
        <v>0</v>
      </c>
      <c r="M991" s="3">
        <f t="shared" si="61"/>
        <v>713.28</v>
      </c>
      <c r="N991">
        <f t="shared" si="62"/>
        <v>1</v>
      </c>
      <c r="O991" s="3">
        <f t="shared" si="63"/>
        <v>0</v>
      </c>
      <c r="P991" t="str" cm="1">
        <f t="array" ref="P991">_xlfn.IFS(C991&lt;18, "Under 18", C991&lt;36, "Btw 18&amp;35", C991&lt;51, "Btw 36&amp;50", C991&lt;66, "Btw 51&amp;65", C991&gt;=66," 66&amp;Above")</f>
        <v>Under 18</v>
      </c>
    </row>
    <row r="992" spans="1:16">
      <c r="A992" t="s">
        <v>1729</v>
      </c>
      <c r="B992" t="s">
        <v>510</v>
      </c>
      <c r="C992">
        <v>64</v>
      </c>
      <c r="D992" t="s">
        <v>18</v>
      </c>
      <c r="E992" s="2">
        <v>45592</v>
      </c>
      <c r="F992" s="2">
        <v>45596</v>
      </c>
      <c r="G992" t="s">
        <v>31</v>
      </c>
      <c r="H992" t="s">
        <v>53</v>
      </c>
      <c r="I992" s="3">
        <v>5579.15</v>
      </c>
      <c r="J992" t="s">
        <v>20</v>
      </c>
      <c r="K992" s="4">
        <v>0.6</v>
      </c>
      <c r="L992" s="3">
        <f t="shared" si="60"/>
        <v>3347.49</v>
      </c>
      <c r="M992" s="3">
        <f t="shared" si="61"/>
        <v>2231.66</v>
      </c>
      <c r="N992">
        <f t="shared" si="62"/>
        <v>4</v>
      </c>
      <c r="O992" s="3">
        <f t="shared" si="63"/>
        <v>0</v>
      </c>
      <c r="P992" t="str" cm="1">
        <f t="array" ref="P992">_xlfn.IFS(C992&lt;18, "Under 18", C992&lt;36, "Btw 18&amp;35", C992&lt;51, "Btw 36&amp;50", C992&lt;66, "Btw 51&amp;65", C992&gt;=66," 66&amp;Above")</f>
        <v>Btw 51&amp;65</v>
      </c>
    </row>
    <row r="993" spans="1:16">
      <c r="A993" t="s">
        <v>1730</v>
      </c>
      <c r="B993" t="s">
        <v>1731</v>
      </c>
      <c r="C993">
        <v>2</v>
      </c>
      <c r="D993" t="s">
        <v>18</v>
      </c>
      <c r="E993" s="2">
        <v>45992</v>
      </c>
      <c r="F993" s="2">
        <v>45995</v>
      </c>
      <c r="G993" t="s">
        <v>49</v>
      </c>
      <c r="H993" t="s">
        <v>130</v>
      </c>
      <c r="I993" s="3">
        <v>3033.99</v>
      </c>
      <c r="J993" t="s">
        <v>15</v>
      </c>
      <c r="K993" s="4">
        <v>0.8</v>
      </c>
      <c r="L993" s="3">
        <f t="shared" si="60"/>
        <v>2427.192</v>
      </c>
      <c r="M993" s="3">
        <f t="shared" si="61"/>
        <v>606.79799999999977</v>
      </c>
      <c r="N993">
        <f t="shared" si="62"/>
        <v>3</v>
      </c>
      <c r="O993" s="3">
        <f t="shared" si="63"/>
        <v>3033.99</v>
      </c>
      <c r="P993" t="str" cm="1">
        <f t="array" ref="P993">_xlfn.IFS(C993&lt;18, "Under 18", C993&lt;36, "Btw 18&amp;35", C993&lt;51, "Btw 36&amp;50", C993&lt;66, "Btw 51&amp;65", C993&gt;=66," 66&amp;Above")</f>
        <v>Under 18</v>
      </c>
    </row>
    <row r="994" spans="1:16">
      <c r="A994" t="s">
        <v>1732</v>
      </c>
      <c r="B994" t="s">
        <v>482</v>
      </c>
      <c r="C994">
        <v>43</v>
      </c>
      <c r="D994" t="s">
        <v>12</v>
      </c>
      <c r="E994" s="2">
        <v>45981</v>
      </c>
      <c r="F994" s="2">
        <v>45983</v>
      </c>
      <c r="G994" t="s">
        <v>23</v>
      </c>
      <c r="H994" t="s">
        <v>24</v>
      </c>
      <c r="I994" s="3">
        <v>4133.9399999999996</v>
      </c>
      <c r="J994" t="s">
        <v>15</v>
      </c>
      <c r="K994" s="4">
        <v>0.5</v>
      </c>
      <c r="L994" s="3">
        <f t="shared" si="60"/>
        <v>2066.9699999999998</v>
      </c>
      <c r="M994" s="3">
        <f t="shared" si="61"/>
        <v>2066.9699999999998</v>
      </c>
      <c r="N994">
        <f t="shared" si="62"/>
        <v>2</v>
      </c>
      <c r="O994" s="3">
        <f t="shared" si="63"/>
        <v>4133.9399999999996</v>
      </c>
      <c r="P994" t="str" cm="1">
        <f t="array" ref="P994">_xlfn.IFS(C994&lt;18, "Under 18", C994&lt;36, "Btw 18&amp;35", C994&lt;51, "Btw 36&amp;50", C994&lt;66, "Btw 51&amp;65", C994&gt;=66," 66&amp;Above")</f>
        <v>Btw 36&amp;50</v>
      </c>
    </row>
    <row r="995" spans="1:16">
      <c r="A995" t="s">
        <v>1733</v>
      </c>
      <c r="B995" t="s">
        <v>1734</v>
      </c>
      <c r="C995">
        <v>10</v>
      </c>
      <c r="D995" t="s">
        <v>12</v>
      </c>
      <c r="E995" s="2">
        <v>45841</v>
      </c>
      <c r="F995" s="2">
        <v>45845</v>
      </c>
      <c r="G995" t="s">
        <v>49</v>
      </c>
      <c r="H995" t="s">
        <v>378</v>
      </c>
      <c r="I995" s="3">
        <v>4374.76</v>
      </c>
      <c r="J995" t="s">
        <v>25</v>
      </c>
      <c r="K995" s="4">
        <v>0.9</v>
      </c>
      <c r="L995" s="3">
        <f t="shared" si="60"/>
        <v>3937.2840000000001</v>
      </c>
      <c r="M995" s="3">
        <f t="shared" si="61"/>
        <v>437.47599999999994</v>
      </c>
      <c r="N995">
        <f t="shared" si="62"/>
        <v>4</v>
      </c>
      <c r="O995" s="3">
        <f t="shared" si="63"/>
        <v>0</v>
      </c>
      <c r="P995" t="str" cm="1">
        <f t="array" ref="P995">_xlfn.IFS(C995&lt;18, "Under 18", C995&lt;36, "Btw 18&amp;35", C995&lt;51, "Btw 36&amp;50", C995&lt;66, "Btw 51&amp;65", C995&gt;=66," 66&amp;Above")</f>
        <v>Under 18</v>
      </c>
    </row>
    <row r="996" spans="1:16">
      <c r="A996" t="s">
        <v>1735</v>
      </c>
      <c r="B996" t="s">
        <v>1736</v>
      </c>
      <c r="C996">
        <v>51</v>
      </c>
      <c r="D996" t="s">
        <v>18</v>
      </c>
      <c r="E996" s="2">
        <v>45568</v>
      </c>
      <c r="F996" s="2">
        <v>45571</v>
      </c>
      <c r="G996" t="s">
        <v>13</v>
      </c>
      <c r="H996" t="s">
        <v>14</v>
      </c>
      <c r="I996" s="3">
        <v>7839.78</v>
      </c>
      <c r="J996" t="s">
        <v>20</v>
      </c>
      <c r="K996" s="4">
        <v>0.9</v>
      </c>
      <c r="L996" s="3">
        <f t="shared" si="60"/>
        <v>7055.8019999999997</v>
      </c>
      <c r="M996" s="3">
        <f t="shared" si="61"/>
        <v>783.97799999999984</v>
      </c>
      <c r="N996">
        <f t="shared" si="62"/>
        <v>3</v>
      </c>
      <c r="O996" s="3">
        <f t="shared" si="63"/>
        <v>0</v>
      </c>
      <c r="P996" t="str" cm="1">
        <f t="array" ref="P996">_xlfn.IFS(C996&lt;18, "Under 18", C996&lt;36, "Btw 18&amp;35", C996&lt;51, "Btw 36&amp;50", C996&lt;66, "Btw 51&amp;65", C996&gt;=66," 66&amp;Above")</f>
        <v>Btw 51&amp;65</v>
      </c>
    </row>
    <row r="997" spans="1:16">
      <c r="A997" t="s">
        <v>1737</v>
      </c>
      <c r="B997" t="s">
        <v>746</v>
      </c>
      <c r="C997">
        <v>58</v>
      </c>
      <c r="D997" t="s">
        <v>12</v>
      </c>
      <c r="E997" s="2">
        <v>45817</v>
      </c>
      <c r="F997" s="2">
        <v>45821</v>
      </c>
      <c r="G997" t="s">
        <v>13</v>
      </c>
      <c r="H997" t="s">
        <v>102</v>
      </c>
      <c r="I997" s="3">
        <v>10021</v>
      </c>
      <c r="J997" t="s">
        <v>15</v>
      </c>
      <c r="K997" s="4">
        <v>0.9</v>
      </c>
      <c r="L997" s="3">
        <f t="shared" si="60"/>
        <v>9018.9</v>
      </c>
      <c r="M997" s="3">
        <f t="shared" si="61"/>
        <v>1002.0999999999998</v>
      </c>
      <c r="N997">
        <f t="shared" si="62"/>
        <v>4</v>
      </c>
      <c r="O997" s="3">
        <f t="shared" si="63"/>
        <v>10021</v>
      </c>
      <c r="P997" t="str" cm="1">
        <f t="array" ref="P997">_xlfn.IFS(C997&lt;18, "Under 18", C997&lt;36, "Btw 18&amp;35", C997&lt;51, "Btw 36&amp;50", C997&lt;66, "Btw 51&amp;65", C997&gt;=66," 66&amp;Above")</f>
        <v>Btw 51&amp;65</v>
      </c>
    </row>
    <row r="998" spans="1:16">
      <c r="A998" t="s">
        <v>1738</v>
      </c>
      <c r="B998" t="s">
        <v>256</v>
      </c>
      <c r="C998">
        <v>75</v>
      </c>
      <c r="D998" t="s">
        <v>12</v>
      </c>
      <c r="E998" s="2">
        <v>45939</v>
      </c>
      <c r="F998" s="2">
        <v>45944</v>
      </c>
      <c r="G998" t="s">
        <v>31</v>
      </c>
      <c r="H998" t="s">
        <v>234</v>
      </c>
      <c r="I998" s="3">
        <v>6377.65</v>
      </c>
      <c r="J998" t="s">
        <v>20</v>
      </c>
      <c r="K998" s="4">
        <v>0.6</v>
      </c>
      <c r="L998" s="3">
        <f t="shared" si="60"/>
        <v>3826.5899999999997</v>
      </c>
      <c r="M998" s="3">
        <f t="shared" si="61"/>
        <v>2551.06</v>
      </c>
      <c r="N998">
        <f t="shared" si="62"/>
        <v>5</v>
      </c>
      <c r="O998" s="3">
        <f t="shared" si="63"/>
        <v>0</v>
      </c>
      <c r="P998" t="str" cm="1">
        <f t="array" ref="P998">_xlfn.IFS(C998&lt;18, "Under 18", C998&lt;36, "Btw 18&amp;35", C998&lt;51, "Btw 36&amp;50", C998&lt;66, "Btw 51&amp;65", C998&gt;=66," 66&amp;Above")</f>
        <v xml:space="preserve"> 66&amp;Above</v>
      </c>
    </row>
    <row r="999" spans="1:16">
      <c r="A999" t="s">
        <v>1739</v>
      </c>
      <c r="B999" t="s">
        <v>454</v>
      </c>
      <c r="C999">
        <v>32</v>
      </c>
      <c r="D999" t="s">
        <v>18</v>
      </c>
      <c r="E999" s="2">
        <v>45769</v>
      </c>
      <c r="F999" s="2">
        <v>45770</v>
      </c>
      <c r="G999" t="s">
        <v>23</v>
      </c>
      <c r="H999" t="s">
        <v>221</v>
      </c>
      <c r="I999" s="3">
        <v>1020.62</v>
      </c>
      <c r="J999" t="s">
        <v>15</v>
      </c>
      <c r="K999" s="4">
        <v>0.6</v>
      </c>
      <c r="L999" s="3">
        <f t="shared" si="60"/>
        <v>612.37199999999996</v>
      </c>
      <c r="M999" s="3">
        <f t="shared" si="61"/>
        <v>408.24800000000005</v>
      </c>
      <c r="N999">
        <f t="shared" si="62"/>
        <v>1</v>
      </c>
      <c r="O999" s="3">
        <f t="shared" si="63"/>
        <v>1020.62</v>
      </c>
      <c r="P999" t="str" cm="1">
        <f t="array" ref="P999">_xlfn.IFS(C999&lt;18, "Under 18", C999&lt;36, "Btw 18&amp;35", C999&lt;51, "Btw 36&amp;50", C999&lt;66, "Btw 51&amp;65", C999&gt;=66," 66&amp;Above")</f>
        <v>Btw 18&amp;35</v>
      </c>
    </row>
    <row r="1000" spans="1:16">
      <c r="A1000" t="s">
        <v>1740</v>
      </c>
      <c r="B1000" t="s">
        <v>1171</v>
      </c>
      <c r="C1000">
        <v>56</v>
      </c>
      <c r="D1000" t="s">
        <v>12</v>
      </c>
      <c r="E1000" s="2">
        <v>45877</v>
      </c>
      <c r="F1000" s="2">
        <v>45878</v>
      </c>
      <c r="G1000" t="s">
        <v>23</v>
      </c>
      <c r="H1000" t="s">
        <v>82</v>
      </c>
      <c r="I1000" s="3">
        <v>2315.06</v>
      </c>
      <c r="J1000" t="s">
        <v>15</v>
      </c>
      <c r="K1000" s="4">
        <v>0.7</v>
      </c>
      <c r="L1000" s="3">
        <f t="shared" si="60"/>
        <v>1620.5419999999999</v>
      </c>
      <c r="M1000" s="3">
        <f t="shared" si="61"/>
        <v>694.51800000000014</v>
      </c>
      <c r="N1000">
        <f t="shared" si="62"/>
        <v>1</v>
      </c>
      <c r="O1000" s="3">
        <f t="shared" si="63"/>
        <v>2315.06</v>
      </c>
      <c r="P1000" t="str" cm="1">
        <f t="array" ref="P1000">_xlfn.IFS(C1000&lt;18, "Under 18", C1000&lt;36, "Btw 18&amp;35", C1000&lt;51, "Btw 36&amp;50", C1000&lt;66, "Btw 51&amp;65", C1000&gt;=66," 66&amp;Above")</f>
        <v>Btw 51&amp;65</v>
      </c>
    </row>
    <row r="1001" spans="1:16">
      <c r="A1001" t="s">
        <v>1741</v>
      </c>
      <c r="B1001" t="s">
        <v>1742</v>
      </c>
      <c r="C1001">
        <v>18</v>
      </c>
      <c r="D1001" t="s">
        <v>18</v>
      </c>
      <c r="E1001" s="2">
        <v>45349</v>
      </c>
      <c r="F1001" s="2">
        <v>45353</v>
      </c>
      <c r="G1001" t="s">
        <v>31</v>
      </c>
      <c r="H1001" t="s">
        <v>87</v>
      </c>
      <c r="I1001" s="3">
        <v>2235.16</v>
      </c>
      <c r="J1001" t="s">
        <v>25</v>
      </c>
      <c r="K1001" s="4">
        <v>1</v>
      </c>
      <c r="L1001" s="3">
        <f t="shared" si="60"/>
        <v>2235.16</v>
      </c>
      <c r="M1001" s="3">
        <f t="shared" si="61"/>
        <v>0</v>
      </c>
      <c r="N1001">
        <f t="shared" si="62"/>
        <v>4</v>
      </c>
      <c r="O1001" s="3">
        <f t="shared" si="63"/>
        <v>0</v>
      </c>
      <c r="P1001" t="str" cm="1">
        <f t="array" ref="P1001">_xlfn.IFS(C1001&lt;18, "Under 18", C1001&lt;36, "Btw 18&amp;35", C1001&lt;51, "Btw 36&amp;50", C1001&lt;66, "Btw 51&amp;65", C1001&gt;=66," 66&amp;Above")</f>
        <v>Btw 18&amp;35</v>
      </c>
    </row>
    <row r="1002" spans="1:16">
      <c r="M1002" s="3"/>
      <c r="O1002" s="3"/>
    </row>
    <row r="1003" spans="1:16">
      <c r="M1003" s="3"/>
    </row>
    <row r="1004" spans="1:16">
      <c r="M1004" s="3"/>
    </row>
    <row r="1005" spans="1:16">
      <c r="M1005" s="3"/>
    </row>
    <row r="1006" spans="1:16">
      <c r="M1006" s="3"/>
    </row>
    <row r="1007" spans="1:16">
      <c r="M1007" s="3"/>
    </row>
    <row r="1008" spans="1:16">
      <c r="M1008" s="3"/>
    </row>
    <row r="1009" spans="13:13">
      <c r="M1009" s="3"/>
    </row>
    <row r="1010" spans="13:13">
      <c r="M1010" s="3"/>
    </row>
    <row r="1011" spans="13:13">
      <c r="M1011" s="3"/>
    </row>
    <row r="1012" spans="13:13">
      <c r="M1012" s="3"/>
    </row>
    <row r="1013" spans="13:13">
      <c r="M1013" s="3"/>
    </row>
    <row r="1014" spans="13:13">
      <c r="M1014" s="3"/>
    </row>
    <row r="1015" spans="13:13">
      <c r="M1015" s="3"/>
    </row>
    <row r="1016" spans="13:13">
      <c r="M1016" s="3"/>
    </row>
    <row r="1017" spans="13:13">
      <c r="M1017" s="3"/>
    </row>
    <row r="1018" spans="13:13">
      <c r="M1018" s="3"/>
    </row>
    <row r="1019" spans="13:13">
      <c r="M1019" s="3"/>
    </row>
    <row r="1020" spans="13:13">
      <c r="M1020" s="3"/>
    </row>
    <row r="1021" spans="13:13">
      <c r="M1021" s="3"/>
    </row>
    <row r="1022" spans="13:13">
      <c r="M1022" s="3"/>
    </row>
    <row r="1023" spans="13:13">
      <c r="M1023" s="3"/>
    </row>
    <row r="1024" spans="13:13">
      <c r="M1024" s="3"/>
    </row>
    <row r="1025" spans="13:13">
      <c r="M1025" s="3"/>
    </row>
    <row r="1026" spans="13:13">
      <c r="M1026" s="3"/>
    </row>
    <row r="1027" spans="13:13">
      <c r="M1027" s="3"/>
    </row>
    <row r="1028" spans="13:13">
      <c r="M1028" s="3"/>
    </row>
    <row r="1029" spans="13:13">
      <c r="M1029" s="3"/>
    </row>
    <row r="1030" spans="13:13">
      <c r="M1030" s="3"/>
    </row>
    <row r="1031" spans="13:13">
      <c r="M1031" s="3"/>
    </row>
    <row r="1032" spans="13:13">
      <c r="M1032" s="3"/>
    </row>
    <row r="1033" spans="13:13">
      <c r="M1033" s="3"/>
    </row>
    <row r="1034" spans="13:13">
      <c r="M1034" s="3"/>
    </row>
    <row r="1035" spans="13:13">
      <c r="M1035" s="3"/>
    </row>
    <row r="1036" spans="13:13">
      <c r="M1036" s="3"/>
    </row>
    <row r="1037" spans="13:13">
      <c r="M1037" s="3"/>
    </row>
    <row r="1038" spans="13:13">
      <c r="M1038" s="3"/>
    </row>
    <row r="1039" spans="13:13">
      <c r="M1039" s="3"/>
    </row>
    <row r="1040" spans="13:13">
      <c r="M1040" s="3"/>
    </row>
    <row r="1041" spans="13:13">
      <c r="M1041" s="3"/>
    </row>
    <row r="1042" spans="13:13">
      <c r="M1042" s="3"/>
    </row>
    <row r="1043" spans="13:13">
      <c r="M1043" s="3"/>
    </row>
    <row r="1044" spans="13:13">
      <c r="M1044" s="3"/>
    </row>
    <row r="1045" spans="13:13">
      <c r="M1045" s="3"/>
    </row>
    <row r="1046" spans="13:13">
      <c r="M1046" s="3"/>
    </row>
    <row r="1047" spans="13:13">
      <c r="M1047" s="3"/>
    </row>
    <row r="1048" spans="13:13">
      <c r="M1048" s="3"/>
    </row>
  </sheetData>
  <autoFilter ref="A1:K1001" xr:uid="{9C1A6D4E-CDC8-4622-9ED2-B9A93B6C10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Default Table</vt:lpstr>
      <vt:lpstr>Dashboard</vt:lpstr>
      <vt:lpstr>Hospital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Rosheed Oyekunle</cp:lastModifiedBy>
  <dcterms:created xsi:type="dcterms:W3CDTF">2026-03-11T02:30:26Z</dcterms:created>
  <dcterms:modified xsi:type="dcterms:W3CDTF">2026-10-26T14:24:23Z</dcterms:modified>
</cp:coreProperties>
</file>